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8942302f8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1" r:id="R1e92472365ba4968"/>
    <x:sheet xmlns:r="http://schemas.openxmlformats.org/officeDocument/2006/relationships" name="Sheet1" sheetId="2" r:id="R72ff97a1cf2d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0.0000"/>
    <x:numFmt numFmtId="202" formatCode="$0.00"/>
  </x:numFmts>
  <x:fonts count="20">
    <x:font>
      <x:sz val="11"/>
      <x:color theme="1"/>
      <x:name val="Calibri"/>
      <x:family val="2"/>
      <x:scheme val="minor"/>
    </x:font>
    <x:font>
      <x:b/>
      <x:u val="single"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57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1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3">
    <x:xf numFmtId="0" fontId="0" fillId="0" borderId="0"/>
    <x:xf numFmtId="0" fontId="3" fillId="0" borderId="0" applyNumberFormat="0" applyFill="0" applyBorder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6" fillId="0" borderId="4" applyNumberFormat="0" applyFill="0" applyAlignment="0" applyProtection="0"/>
    <x:xf numFmtId="0" fontId="6" fillId="0" borderId="0" applyNumberFormat="0" applyFill="0" applyBorder="0" applyAlignment="0" applyProtection="0"/>
    <x:xf numFmtId="0" fontId="7" fillId="2" borderId="0" applyNumberFormat="0" applyBorder="0" applyAlignment="0" applyProtection="0"/>
    <x:xf numFmtId="0" fontId="8" fillId="3" borderId="0" applyNumberFormat="0" applyBorder="0" applyAlignment="0" applyProtection="0"/>
    <x:xf numFmtId="0" fontId="9" fillId="4" borderId="0" applyNumberFormat="0" applyBorder="0" applyAlignment="0" applyProtection="0"/>
    <x:xf numFmtId="0" fontId="10" fillId="5" borderId="5" applyNumberFormat="0" applyAlignment="0" applyProtection="0"/>
    <x:xf numFmtId="0" fontId="11" fillId="6" borderId="6" applyNumberFormat="0" applyAlignment="0" applyProtection="0"/>
    <x:xf numFmtId="0" fontId="12" fillId="6" borderId="5" applyNumberFormat="0" applyAlignment="0" applyProtection="0"/>
    <x:xf numFmtId="0" fontId="13" fillId="0" borderId="7" applyNumberFormat="0" applyFill="0" applyAlignment="0" applyProtection="0"/>
    <x:xf numFmtId="0" fontId="14" fillId="7" borderId="8" applyNumberFormat="0" applyAlignment="0" applyProtection="0"/>
    <x:xf numFmtId="0" fontId="15" fillId="0" borderId="0" applyNumberFormat="0" applyFill="0" applyBorder="0" applyAlignment="0" applyProtection="0"/>
    <x:xf numFmtId="0" fontId="2" fillId="8" borderId="9" applyNumberFormat="0" applyFont="0" applyAlignment="0" applyProtection="0"/>
    <x:xf numFmtId="0" fontId="16" fillId="0" borderId="0" applyNumberFormat="0" applyFill="0" applyBorder="0" applyAlignment="0" applyProtection="0"/>
    <x:xf numFmtId="0" fontId="17" fillId="0" borderId="10" applyNumberFormat="0" applyFill="0" applyAlignment="0" applyProtection="0"/>
    <x:xf numFmtId="0" fontId="18" fillId="9" borderId="0" applyNumberFormat="0" applyBorder="0" applyAlignment="0" applyProtection="0"/>
    <x:xf numFmtId="0" fontId="2" fillId="10" borderId="0" applyNumberFormat="0" applyBorder="0" applyAlignment="0" applyProtection="0"/>
    <x:xf numFmtId="0" fontId="2" fillId="11" borderId="0" applyNumberFormat="0" applyBorder="0" applyAlignment="0" applyProtection="0"/>
    <x:xf numFmtId="0" fontId="2" fillId="12" borderId="0" applyNumberFormat="0" applyBorder="0" applyAlignment="0" applyProtection="0"/>
    <x:xf numFmtId="0" fontId="18" fillId="13" borderId="0" applyNumberFormat="0" applyBorder="0" applyAlignment="0" applyProtection="0"/>
    <x:xf numFmtId="0" fontId="2" fillId="14" borderId="0" applyNumberFormat="0" applyBorder="0" applyAlignment="0" applyProtection="0"/>
    <x:xf numFmtId="0" fontId="2" fillId="15" borderId="0" applyNumberFormat="0" applyBorder="0" applyAlignment="0" applyProtection="0"/>
    <x:xf numFmtId="0" fontId="2" fillId="16" borderId="0" applyNumberFormat="0" applyBorder="0" applyAlignment="0" applyProtection="0"/>
    <x:xf numFmtId="0" fontId="18" fillId="17" borderId="0" applyNumberFormat="0" applyBorder="0" applyAlignment="0" applyProtection="0"/>
    <x:xf numFmtId="0" fontId="2" fillId="18" borderId="0" applyNumberFormat="0" applyBorder="0" applyAlignment="0" applyProtection="0"/>
    <x:xf numFmtId="0" fontId="2" fillId="19" borderId="0" applyNumberFormat="0" applyBorder="0" applyAlignment="0" applyProtection="0"/>
    <x:xf numFmtId="0" fontId="2" fillId="20" borderId="0" applyNumberFormat="0" applyBorder="0" applyAlignment="0" applyProtection="0"/>
    <x:xf numFmtId="0" fontId="18" fillId="21" borderId="0" applyNumberFormat="0" applyBorder="0" applyAlignment="0" applyProtection="0"/>
    <x:xf numFmtId="0" fontId="2" fillId="22" borderId="0" applyNumberFormat="0" applyBorder="0" applyAlignment="0" applyProtection="0"/>
    <x:xf numFmtId="0" fontId="2" fillId="23" borderId="0" applyNumberFormat="0" applyBorder="0" applyAlignment="0" applyProtection="0"/>
    <x:xf numFmtId="0" fontId="2" fillId="24" borderId="0" applyNumberFormat="0" applyBorder="0" applyAlignment="0" applyProtection="0"/>
    <x:xf numFmtId="0" fontId="18" fillId="25" borderId="0" applyNumberFormat="0" applyBorder="0" applyAlignment="0" applyProtection="0"/>
    <x:xf numFmtId="0" fontId="2" fillId="26" borderId="0" applyNumberFormat="0" applyBorder="0" applyAlignment="0" applyProtection="0"/>
    <x:xf numFmtId="0" fontId="2" fillId="27" borderId="0" applyNumberFormat="0" applyBorder="0" applyAlignment="0" applyProtection="0"/>
    <x:xf numFmtId="0" fontId="2" fillId="28" borderId="0" applyNumberFormat="0" applyBorder="0" applyAlignment="0" applyProtection="0"/>
    <x:xf numFmtId="0" fontId="18" fillId="29" borderId="0" applyNumberFormat="0" applyBorder="0" applyAlignment="0" applyProtection="0"/>
    <x:xf numFmtId="0" fontId="2" fillId="30" borderId="0" applyNumberFormat="0" applyBorder="0" applyAlignment="0" applyProtection="0"/>
    <x:xf numFmtId="0" fontId="2" fillId="31" borderId="0" applyNumberFormat="0" applyBorder="0" applyAlignment="0" applyProtection="0"/>
    <x:xf numFmtId="0" fontId="2" fillId="32" borderId="0" applyNumberFormat="0" applyBorder="0" applyAlignment="0" applyProtection="0"/>
    <x:xf numFmtId="0" fontId="19" fillId="0" borderId="0"/>
  </x:cellStyleXfs>
  <x:cellXfs count="14">
    <x:xf numFmtId="0" fontId="0" fillId="0" borderId="0" xfId="0"/>
    <x:xf numFmtId="0" fontId="0" fillId="0" borderId="0" xfId="0" applyAlignment="1">
      <x:alignment horizontal="left"/>
    </x:xf>
    <x:xf numFmtId="0" fontId="0" fillId="0" borderId="0" xfId="0" applyAlignment="1">
      <x:alignment horizontal="center"/>
    </x:xf>
    <x:xf numFmtId="49" fontId="0" fillId="0" borderId="0" xfId="0" applyNumberFormat="1" applyAlignment="1">
      <x:alignment horizontal="left"/>
    </x:xf>
    <x:xf numFmtId="0" fontId="1" fillId="0" borderId="1" xfId="0" applyFont="1" applyBorder="1" applyAlignment="1">
      <x:alignment vertical="center" wrapText="1"/>
    </x:xf>
    <x:xf numFmtId="0" fontId="1" fillId="0" borderId="1" xfId="0" applyFont="1" applyBorder="1" applyAlignment="1">
      <x:alignment horizontal="left" wrapText="1"/>
    </x:xf>
    <x:xf numFmtId="0" fontId="1" fillId="0" borderId="1" xfId="0" applyFont="1" applyBorder="1" applyAlignment="1">
      <x:alignment horizontal="center"/>
    </x:xf>
    <x:xf numFmtId="0" fontId="1" fillId="0" borderId="1" xfId="0" applyFont="1" applyBorder="1" applyAlignment="1">
      <x:alignment horizontal="center" vertical="center" wrapText="1"/>
    </x:xf>
    <x:xf numFmtId="49" fontId="1" fillId="0" borderId="1" xfId="0" applyNumberFormat="1" applyFont="1" applyBorder="1" applyAlignment="1">
      <x:alignment horizontal="left" vertical="center" wrapText="1"/>
    </x:xf>
    <x:xf numFmtId="0" fontId="1" fillId="0" borderId="1" xfId="0" applyFont="1" applyBorder="1" applyAlignment="1">
      <x:alignment horizontal="left" vertical="center"/>
    </x:xf>
    <x:xf numFmtId="0" fontId="17" fillId="0" borderId="0" xfId="0" applyFon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43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rmal 2" xfId="42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63203be2d44f2" /><Relationship Type="http://schemas.openxmlformats.org/officeDocument/2006/relationships/theme" Target="/xl/theme/theme1.xml" Id="Rfea7025c057041ce" /><Relationship Type="http://schemas.openxmlformats.org/officeDocument/2006/relationships/sharedStrings" Target="/xl/sharedStrings.xml" Id="Rd5fa979970a348ff" /><Relationship Type="http://schemas.openxmlformats.org/officeDocument/2006/relationships/worksheet" Target="/xl/worksheets/sheet1.xml" Id="R1e92472365ba4968" /><Relationship Type="http://schemas.openxmlformats.org/officeDocument/2006/relationships/worksheet" Target="/xl/worksheets/sheet2.xml" Id="R72ff97a1cf2d4709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36.28515625" customWidth="1"/>
    <x:col min="3" max="3" width="31.5703125" style="3" customWidth="1"/>
    <x:col min="4" max="4" width="40.28515625" customWidth="1"/>
    <x:col min="5" max="5" width="36.7109375" customWidth="1"/>
    <x:col min="6" max="6" width="7.7109375" style="2" customWidth="1"/>
    <x:col min="7" max="7" width="13.7109375" style="2" customWidth="1"/>
    <x:col min="8" max="8" width="30.85546875" style="2" customWidth="1"/>
    <x:col min="9" max="9" width="25" style="1" customWidth="1"/>
    <x:col min="10" max="11" width="19.85546875" style="1" customWidth="1"/>
    <x:col min="12" max="12" width="16" style="1" customWidth="1"/>
    <x:col min="15" max="15" width="13.7109375" hidden="0" customWidth="1"/>
    <x:col min="16" max="16" width="13.7109375" hidden="0" customWidth="1"/>
    <x:col min="17" max="17" width="13.7109375" hidden="0" customWidth="1"/>
    <x:col min="18" max="18" width="13.7109375" hidden="0" customWidth="1"/>
    <x:col min="19" max="19" width="13.7109375" hidden="0" customWidth="1"/>
    <x:col min="20" max="20" width="36.7109375" hidden="0" customWidth="1"/>
    <x:col min="21" max="21" width="36.7109375" hidden="0" customWidth="1"/>
  </x:cols>
  <x:sheetData>
    <x:row r="1">
      <x:c r="A1" s="6" t="str">
        <x:v>ITEM #</x:v>
      </x:c>
      <x:c r="B1" s="6" t="str">
        <x:v>MANF</x:v>
      </x:c>
      <x:c r="C1" s="8" t="str">
        <x:v>MANF PN</x:v>
      </x:c>
      <x:c r="D1" s="7" t="str">
        <x:v>DESCRIPTION</x:v>
      </x:c>
      <x:c r="E1" s="4" t="str">
        <x:v>DIST PN</x:v>
      </x:c>
      <x:c r="F1" s="7" t="str">
        <x:v>QTY.</x:v>
      </x:c>
      <x:c r="G1" s="7" t="str">
        <x:v>ORDER QTY</x:v>
      </x:c>
      <x:c r="H1" s="6" t="str">
        <x:v>VALUE</x:v>
      </x:c>
      <x:c r="I1" s="5" t="str">
        <x:v>FOOTPRINT</x:v>
      </x:c>
      <x:c r="J1" s="5" t="str">
        <x:v>DISTRIBUTOR</x:v>
      </x:c>
      <x:c r="K1" s="5" t="str">
        <x:v>TYPE</x:v>
      </x:c>
      <x:c r="L1" s="9" t="str">
        <x:v>REFDES</x:v>
      </x:c>
      <x:c r="M1" s="9"/>
      <x:c r="N1" s="4" t="str">
        <x:v>NOTES</x:v>
      </x:c>
      <x:c r="O1" t="str">
        <x:v>STOCK</x:v>
      </x:c>
      <x:c r="P1" t="str">
        <x:v>MOQ</x:v>
      </x:c>
      <x:c r="Q1" t="str">
        <x:v>UNIT USD</x:v>
      </x:c>
      <x:c r="R1" t="str">
        <x:v>PRICE TIER QTY</x:v>
      </x:c>
      <x:c r="S1" t="str">
        <x:v>LOOKUP DATE</x:v>
      </x:c>
      <x:c r="T1" t="str">
        <x:v>PRODUCT SOURCE</x:v>
      </x:c>
      <x:c r="U1" t="str">
        <x:v>DATASHEET</x:v>
      </x:c>
    </x:row>
    <x:row r="2">
      <x:c r="A2" s="2" t="n">
        <x:v>1</x:v>
      </x:c>
      <x:c r="B2"/>
      <x:c r="C2"/>
      <x:c r="D2" t="str">
        <x:v>BATTERY CONNECTION, DIRECT-SOLDER</x:v>
      </x:c>
      <x:c r="E2"/>
      <x:c r="F2" s="2" t="n">
        <x:v>1</x:v>
      </x:c>
      <x:c r="G2" t="n">
        <x:f>0</x:f>
        <x:v>0</x:v>
      </x:c>
      <x:c r="H2" s="1" t="str">
        <x:v>BATTERY</x:v>
      </x:c>
      <x:c r="I2" t="str">
        <x:v>pin2con</x:v>
      </x:c>
      <x:c r="J2" t="str">
        <x:v>N/A</x:v>
      </x:c>
      <x:c r="K2" t="str">
        <x:v>NO PURCHASE</x:v>
      </x:c>
      <x:c r="L2" s="1" t="str">
        <x:v>BT1</x:v>
      </x:c>
      <x:c r="M2"/>
      <x:c r="N2" t="str">
        <x:v>User-supplied battery. Direct-solder leads at BT1; no connector purchase.</x:v>
      </x:c>
      <x:c r="O2"/>
      <x:c r="P2"/>
      <x:c r="Q2" s="12"/>
      <x:c r="R2"/>
      <x:c r="S2" s="11"/>
      <x:c r="T2"/>
      <x:c r="U2"/>
    </x:row>
    <x:row r="3">
      <x:c r="A3" s="2" t="n">
        <x:v>2</x:v>
      </x:c>
      <x:c r="B3" t="str">
        <x:v>Murata Electronics</x:v>
      </x:c>
      <x:c r="C3" t="str">
        <x:v>GCM188R71H104KA57J</x:v>
      </x:c>
      <x:c r="D3" t="str">
        <x:v>CAP CER 0.1UF 50V X7R 0603</x:v>
      </x:c>
      <x:c r="E3" t="str">
        <x:v>490-8020-1-ND</x:v>
      </x:c>
      <x:c r="F3" s="2" t="n">
        <x:v>14</x:v>
      </x:c>
      <x:c r="G3" t="n">
        <x:f>F3</x:f>
        <x:v>14</x:v>
      </x:c>
      <x:c r="H3" s="1" t="str">
        <x:v>100 nF</x:v>
      </x:c>
      <x:c r="I3" t="str">
        <x:v>G-188</x:v>
      </x:c>
      <x:c r="J3" t="str">
        <x:v>DIGIKEY</x:v>
      </x:c>
      <x:c r="K3" t="str">
        <x:v>CAPACITOR</x:v>
      </x:c>
      <x:c r="L3" s="1" t="str">
        <x:v>C1;C2;C3;C4;C5;C6;C7;C8;C14;C16;C17;C25;C27;C28</x:v>
      </x:c>
      <x:c r="M3"/>
      <x:c r="N3" t="str">
        <x:v>Murata X7R, +/-10%; 50 V. 0603 (1608 metric).</x:v>
      </x:c>
      <x:c r="O3" t="n">
        <x:v>6483262</x:v>
      </x:c>
      <x:c r="P3" t="n">
        <x:v>1</x:v>
      </x:c>
      <x:c r="Q3" s="12" t="n">
        <x:v>0.114</x:v>
      </x:c>
      <x:c r="R3" t="n">
        <x:v>10</x:v>
      </x:c>
      <x:c r="S3" s="11" t="d">
        <x:v>2026-10-21T12:00:00.000Z</x:v>
      </x:c>
      <x:c r="T3" t="str">
        <x:v>https://www.digikey.com/en/products/detail/murata-electronics/GCM188R71H104KA57J/2591942</x:v>
      </x:c>
      <x:c r="U3" t="str">
        <x:v>https://pim.murata.com/asset/pim4/ceramicCapacitorSMD/GCM188R71H104KA57-01A-EN_PDF_CERAMICCAPACITORSMD</x:v>
      </x:c>
    </x:row>
    <x:row r="4">
      <x:c r="A4" s="2" t="n">
        <x:v>3</x:v>
      </x:c>
      <x:c r="B4"/>
      <x:c r="C4"/>
      <x:c r="D4" t="str">
        <x:v>DO NOT POPULATE</x:v>
      </x:c>
      <x:c r="E4"/>
      <x:c r="F4" s="2" t="n">
        <x:v>2</x:v>
      </x:c>
      <x:c r="G4" t="n">
        <x:f>0</x:f>
        <x:v>0</x:v>
      </x:c>
      <x:c r="H4" s="1" t="str">
        <x:v>DNP</x:v>
      </x:c>
      <x:c r="I4" t="str">
        <x:v>G-21</x:v>
      </x:c>
      <x:c r="J4" t="str">
        <x:v>N/A</x:v>
      </x:c>
      <x:c r="K4" t="str">
        <x:v>DNP</x:v>
      </x:c>
      <x:c r="L4" s="1" t="str">
        <x:v>C9;C10</x:v>
      </x:c>
      <x:c r="M4"/>
      <x:c r="N4" t="str">
        <x:v>DNP. Do not populate C9 or C10.</x:v>
      </x:c>
      <x:c r="O4"/>
      <x:c r="P4"/>
      <x:c r="Q4" s="12"/>
      <x:c r="R4"/>
      <x:c r="S4" s="11"/>
      <x:c r="T4"/>
      <x:c r="U4"/>
    </x:row>
    <x:row r="5">
      <x:c r="A5" s="2" t="n">
        <x:v>4</x:v>
      </x:c>
      <x:c r="B5" t="str">
        <x:v>KYOCERA AVX</x:v>
      </x:c>
      <x:c r="C5" t="str">
        <x:v>06033C474JAT2A</x:v>
      </x:c>
      <x:c r="D5" t="str">
        <x:v>0.47 µF ±5% 25V Ceramic Capacitor X7R 0603 (1608 Metric)</x:v>
      </x:c>
      <x:c r="E5" t="str">
        <x:v>478-06033C474JAT2ACT-ND</x:v>
      </x:c>
      <x:c r="F5" s="2" t="n">
        <x:v>1</x:v>
      </x:c>
      <x:c r="G5" t="n">
        <x:f>F5</x:f>
        <x:v>1</x:v>
      </x:c>
      <x:c r="H5" s="1" t="str">
        <x:v>470 nF</x:v>
      </x:c>
      <x:c r="I5" t="str">
        <x:v>G-188</x:v>
      </x:c>
      <x:c r="J5" t="str">
        <x:v>DIGIKEY</x:v>
      </x:c>
      <x:c r="K5" t="str">
        <x:v>CAPACITOR</x:v>
      </x:c>
      <x:c r="L5" s="1" t="str">
        <x:v>C11</x:v>
      </x:c>
      <x:c r="M5"/>
      <x:c r="N5" t="str">
        <x:v>0603, 470 nF, 25 V, X7R, +/-5%. AVX selected because matching KEMET part was out of stock.</x:v>
      </x:c>
      <x:c r="O5" t="n">
        <x:v>8060</x:v>
      </x:c>
      <x:c r="P5" t="n">
        <x:v>1</x:v>
      </x:c>
      <x:c r="Q5" s="12" t="n">
        <x:v>0.52</x:v>
      </x:c>
      <x:c r="R5" t="n">
        <x:v>1</x:v>
      </x:c>
      <x:c r="S5" s="11" t="d">
        <x:v>2026-10-21T00:00:00.000Z</x:v>
      </x:c>
      <x:c r="T5" t="str">
        <x:v>https://www.digikey.com/en/products/detail/kyocera-avx/06033C474JAT2A/11267208</x:v>
      </x:c>
      <x:c r="U5" t="str">
        <x:v>https://datasheets.kyocera-avx.com/X7RDielectric.pdf</x:v>
      </x:c>
    </x:row>
    <x:row r="6">
      <x:c r="A6" s="2" t="n">
        <x:v>5</x:v>
      </x:c>
      <x:c r="B6" t="str">
        <x:v>KEMET</x:v>
      </x:c>
      <x:c r="C6" t="str">
        <x:v>C0805C105J3RECTU</x:v>
      </x:c>
      <x:c r="D6" t="str">
        <x:v>1 µF ±5% 25V Ceramic Capacitor X7R 0805 (2012 Metric)</x:v>
      </x:c>
      <x:c r="E6" t="str">
        <x:v>399-C0805C105J3RECTUCT-ND</x:v>
      </x:c>
      <x:c r="F6" s="2" t="n">
        <x:v>6</x:v>
      </x:c>
      <x:c r="G6" t="n">
        <x:f>F6</x:f>
        <x:v>6</x:v>
      </x:c>
      <x:c r="H6" s="1" t="str">
        <x:v>1.0 uF</x:v>
      </x:c>
      <x:c r="I6" t="str">
        <x:v>G-21</x:v>
      </x:c>
      <x:c r="J6" t="str">
        <x:v>DIGIKEY</x:v>
      </x:c>
      <x:c r="K6" t="str">
        <x:v>CAPACITOR</x:v>
      </x:c>
      <x:c r="L6" s="1" t="str">
        <x:v>C13;C15;C21;C23;C24;C26</x:v>
      </x:c>
      <x:c r="M6"/>
      <x:c r="N6" t="str">
        <x:v>0805, 1 uF, 25 V, X7R, +/-5%. Same KEMET part for all six positions; ESD-rated MLCC suitable for bypass/decoupling. Maximum thickness 1.45 mm.</x:v>
      </x:c>
      <x:c r="O6" t="n">
        <x:v>21738</x:v>
      </x:c>
      <x:c r="P6" t="n">
        <x:v>1</x:v>
      </x:c>
      <x:c r="Q6" s="12" t="n">
        <x:v>0.4</x:v>
      </x:c>
      <x:c r="R6" t="n">
        <x:v>1</x:v>
      </x:c>
      <x:c r="S6" s="11" t="d">
        <x:v>2026-10-21T00:00:00.000Z</x:v>
      </x:c>
      <x:c r="T6" t="str">
        <x:v>https://www.digikey.com/en/products/detail/kemet/C0805C105J3RECTU/8643721</x:v>
      </x:c>
      <x:c r="U6" t="str">
        <x:v>https://yageogroup.com/content/datasheet/asset/file/KEM_C1090_X7R_ESD</x:v>
      </x:c>
    </x:row>
    <x:row r="7">
      <x:c r="A7" s="2" t="n">
        <x:v>6</x:v>
      </x:c>
      <x:c r="B7" t="str">
        <x:v>Murata Electronics</x:v>
      </x:c>
      <x:c r="C7" t="str">
        <x:v>GRM21BR71E225KE11L</x:v>
      </x:c>
      <x:c r="D7" t="str">
        <x:v>CAP CER 2.2UF 25V X7R 0805</x:v>
      </x:c>
      <x:c r="E7" t="str">
        <x:v>490-14467-1-ND</x:v>
      </x:c>
      <x:c r="F7" s="2" t="n">
        <x:v>3</x:v>
      </x:c>
      <x:c r="G7" t="n">
        <x:f>F7</x:f>
        <x:v>3</x:v>
      </x:c>
      <x:c r="H7" s="1" t="str">
        <x:v>2.2 uF</x:v>
      </x:c>
      <x:c r="I7" t="str">
        <x:v>G-21</x:v>
      </x:c>
      <x:c r="J7" t="str">
        <x:v>DIGIKEY</x:v>
      </x:c>
      <x:c r="K7" t="str">
        <x:v>CAPACITOR</x:v>
      </x:c>
      <x:c r="L7" s="1" t="str">
        <x:v>C18;C19;C22</x:v>
      </x:c>
      <x:c r="M7"/>
      <x:c r="N7" t="str">
        <x:v>Murata X7R, +/-10%; 25 V. 0805 (2012 metric).</x:v>
      </x:c>
      <x:c r="O7" t="n">
        <x:v>776358</x:v>
      </x:c>
      <x:c r="P7" t="n">
        <x:v>1</x:v>
      </x:c>
      <x:c r="Q7" s="12" t="n">
        <x:v>0.18</x:v>
      </x:c>
      <x:c r="R7" t="n">
        <x:v>1</x:v>
      </x:c>
      <x:c r="S7" s="11" t="d">
        <x:v>2026-10-21T12:00:00.000Z</x:v>
      </x:c>
      <x:c r="T7" t="str">
        <x:v>https://www.digikey.com/en/products/detail/murata-electronics/GRM21BR71E225KE11L/6606096</x:v>
      </x:c>
      <x:c r="U7" t="str">
        <x:v>https://pim.murata.com/asset/pim4/ceramicCapacitorSMD/GRM21BR71E225KE11-01A-EN_PDF_CERAMICCAPACITORSMD</x:v>
      </x:c>
    </x:row>
    <x:row r="8">
      <x:c r="A8" s="2" t="n">
        <x:v>7</x:v>
      </x:c>
      <x:c r="B8" t="str">
        <x:v>Murata Electronics</x:v>
      </x:c>
      <x:c r="C8" t="str">
        <x:v>GCM188R71E224KA55D</x:v>
      </x:c>
      <x:c r="D8" t="str">
        <x:v>CAP CER 0.22UF 25V X7R 0603</x:v>
      </x:c>
      <x:c r="E8" t="str">
        <x:v>490-4935-1-ND</x:v>
      </x:c>
      <x:c r="F8" s="2" t="n">
        <x:v>1</x:v>
      </x:c>
      <x:c r="G8" t="n">
        <x:f>F8</x:f>
        <x:v>1</x:v>
      </x:c>
      <x:c r="H8" s="1" t="str">
        <x:v>0.22 uF</x:v>
      </x:c>
      <x:c r="I8" t="str">
        <x:v>G-188</x:v>
      </x:c>
      <x:c r="J8" t="str">
        <x:v>DIGIKEY</x:v>
      </x:c>
      <x:c r="K8" t="str">
        <x:v>CAPACITOR</x:v>
      </x:c>
      <x:c r="L8" s="1" t="str">
        <x:v>C20</x:v>
      </x:c>
      <x:c r="M8"/>
      <x:c r="N8" t="str">
        <x:v>Murata X7R, +/-10%; 25 V. 0603 (1608 metric).</x:v>
      </x:c>
      <x:c r="O8" t="n">
        <x:v>3032570</x:v>
      </x:c>
      <x:c r="P8" t="n">
        <x:v>1</x:v>
      </x:c>
      <x:c r="Q8" s="12" t="n">
        <x:v>0.11</x:v>
      </x:c>
      <x:c r="R8" t="n">
        <x:v>1</x:v>
      </x:c>
      <x:c r="S8" s="11" t="d">
        <x:v>2026-10-21T12:00:00.000Z</x:v>
      </x:c>
      <x:c r="T8" t="str">
        <x:v>https://www.digikey.com/en/products/detail/murata-electronics/GCM188R71E224KA55D/1765183</x:v>
      </x:c>
      <x:c r="U8" t="str">
        <x:v>https://pim.murata.com/asset/pim4/ceramicCapacitorSMD/GCM188R71E224KA55-01A-EN_PDF_CERAMICCAPACITORSMD</x:v>
      </x:c>
    </x:row>
    <x:row r="9">
      <x:c r="A9" s="2" t="n">
        <x:v>8</x:v>
      </x:c>
      <x:c r="B9" t="str">
        <x:v>SunLED</x:v>
      </x:c>
      <x:c r="C9" t="str">
        <x:v>XZFRS54FVF-1</x:v>
      </x:c>
      <x:c r="D9" t="str">
        <x:v>LED VIOLET 0805 SMD</x:v>
      </x:c>
      <x:c r="E9" t="str">
        <x:v>1497-XZFRS54FVF-1CT-ND</x:v>
      </x:c>
      <x:c r="F9" s="2" t="n">
        <x:v>1</x:v>
      </x:c>
      <x:c r="G9" t="n">
        <x:f>F9</x:f>
        <x:v>1</x:v>
      </x:c>
      <x:c r="H9" s="1" t="str">
        <x:v>XZFRS54FVF-1</x:v>
      </x:c>
      <x:c r="I9" t="str">
        <x:v>G-21</x:v>
      </x:c>
      <x:c r="J9" t="str">
        <x:v>DIGIKEY</x:v>
      </x:c>
      <x:c r="K9" t="str">
        <x:v>LED</x:v>
      </x:c>
      <x:c r="L9" s="1" t="str">
        <x:v>D1</x:v>
      </x:c>
      <x:c r="M9"/>
      <x:c r="N9"/>
      <x:c r="O9" t="n">
        <x:v>1540</x:v>
      </x:c>
      <x:c r="P9" t="n">
        <x:v>1</x:v>
      </x:c>
      <x:c r="Q9" s="12" t="n">
        <x:v>0.79</x:v>
      </x:c>
      <x:c r="R9" t="n">
        <x:v>1</x:v>
      </x:c>
      <x:c r="S9" s="11" t="d">
        <x:v>2026-10-21T12:00:00.000Z</x:v>
      </x:c>
      <x:c r="T9" t="str">
        <x:v>https://www.digikey.com/en/products/detail/sunled/XZFRS54FVF-1/25586208</x:v>
      </x:c>
      <x:c r="U9" t="str">
        <x:v>https://www.sunledusa.com/products/spec/xzfrs54fvf-1.pdf</x:v>
      </x:c>
    </x:row>
    <x:row r="10">
      <x:c r="A10" s="2" t="n">
        <x:v>9</x:v>
      </x:c>
      <x:c r="B10" t="str">
        <x:v>SunLED</x:v>
      </x:c>
      <x:c r="C10" t="str">
        <x:v>XZFRA53FVC-1</x:v>
      </x:c>
      <x:c r="D10" t="str">
        <x:v>LED PINK 0603 SMD</x:v>
      </x:c>
      <x:c r="E10" t="str">
        <x:v>1497-XZFRA53FVC-1CT-ND</x:v>
      </x:c>
      <x:c r="F10" s="2" t="n">
        <x:v>1</x:v>
      </x:c>
      <x:c r="G10" t="n">
        <x:f>F10</x:f>
        <x:v>1</x:v>
      </x:c>
      <x:c r="H10" s="1" t="str">
        <x:v>XZFRA53FVC-1</x:v>
      </x:c>
      <x:c r="I10" t="str">
        <x:v>G-188</x:v>
      </x:c>
      <x:c r="J10" t="str">
        <x:v>DIGIKEY</x:v>
      </x:c>
      <x:c r="K10" t="str">
        <x:v>LED</x:v>
      </x:c>
      <x:c r="L10" s="1" t="str">
        <x:v>D2</x:v>
      </x:c>
      <x:c r="M10"/>
      <x:c r="N10"/>
      <x:c r="O10" t="n">
        <x:v>1194</x:v>
      </x:c>
      <x:c r="P10" t="n">
        <x:v>1</x:v>
      </x:c>
      <x:c r="Q10" s="12" t="n">
        <x:v>0.86</x:v>
      </x:c>
      <x:c r="R10" t="n">
        <x:v>1</x:v>
      </x:c>
      <x:c r="S10" s="11" t="d">
        <x:v>2026-10-21T12:00:00.000Z</x:v>
      </x:c>
      <x:c r="T10" t="str">
        <x:v>https://www.digikey.com/en/products/detail/sunled/XZFRA53FVC-1/28246155</x:v>
      </x:c>
      <x:c r="U10" t="str">
        <x:v>https://www.sunledusa.com/products/spec/XZFRA53FVC-1.pdf</x:v>
      </x:c>
    </x:row>
    <x:row r="11">
      <x:c r="A11" s="2" t="n">
        <x:v>10</x:v>
      </x:c>
      <x:c r="B11" t="str">
        <x:v>Kingbright</x:v>
      </x:c>
      <x:c r="C11" t="str">
        <x:v>APT1608VRCXF/A-5MAV</x:v>
      </x:c>
      <x:c r="D11" t="str">
        <x:v>LED CYAN DIFFUSED SMD</x:v>
      </x:c>
      <x:c r="E11" t="str">
        <x:v>754-2180-1-ND</x:v>
      </x:c>
      <x:c r="F11" s="2" t="n">
        <x:v>1</x:v>
      </x:c>
      <x:c r="G11" t="n">
        <x:f>F11</x:f>
        <x:v>1</x:v>
      </x:c>
      <x:c r="H11" s="1" t="str">
        <x:v>APT1608VRCXF/A-5MAV</x:v>
      </x:c>
      <x:c r="I11" t="str">
        <x:v>G-188</x:v>
      </x:c>
      <x:c r="J11" t="str">
        <x:v>DIGIKEY</x:v>
      </x:c>
      <x:c r="K11" t="str">
        <x:v>LED</x:v>
      </x:c>
      <x:c r="L11" s="1" t="str">
        <x:v>D3</x:v>
      </x:c>
      <x:c r="M11"/>
      <x:c r="N11"/>
      <x:c r="O11" t="n">
        <x:v>5033</x:v>
      </x:c>
      <x:c r="P11" t="n">
        <x:v>1</x:v>
      </x:c>
      <x:c r="Q11" s="12" t="n">
        <x:v>0.72</x:v>
      </x:c>
      <x:c r="R11" t="n">
        <x:v>1</x:v>
      </x:c>
      <x:c r="S11" s="11" t="d">
        <x:v>2026-10-21T12:00:00.000Z</x:v>
      </x:c>
      <x:c r="T11" t="str">
        <x:v>https://www.digikey.com/en/products/detail/kingbright/APT1608VRCXF-A-5MAV/7776804</x:v>
      </x:c>
      <x:c r="U11" t="str">
        <x:v>https://www.KingbrightUSA.com/images/catalog/SPEC/APT1608VRCXF-A-5MAV.pdf</x:v>
      </x:c>
    </x:row>
    <x:row r="12">
      <x:c r="A12" s="2" t="n">
        <x:v>11</x:v>
      </x:c>
      <x:c r="B12" t="str">
        <x:v>Lite-On Inc.</x:v>
      </x:c>
      <x:c r="C12" t="str">
        <x:v>LTST-C190KRKT</x:v>
      </x:c>
      <x:c r="D12" t="str">
        <x:v>LED RED CLEAR CHIP SMD</x:v>
      </x:c>
      <x:c r="E12" t="str">
        <x:v>160-1436-1-ND</x:v>
      </x:c>
      <x:c r="F12" s="2" t="n">
        <x:v>1</x:v>
      </x:c>
      <x:c r="G12" t="n">
        <x:f>F12</x:f>
        <x:v>1</x:v>
      </x:c>
      <x:c r="H12" s="1" t="str">
        <x:v>LTST-C190KRKT</x:v>
      </x:c>
      <x:c r="I12" t="str">
        <x:v>G-188</x:v>
      </x:c>
      <x:c r="J12" t="str">
        <x:v>DIGIKEY</x:v>
      </x:c>
      <x:c r="K12" t="str">
        <x:v>LED</x:v>
      </x:c>
      <x:c r="L12" s="1" t="str">
        <x:v>D4</x:v>
      </x:c>
      <x:c r="M12"/>
      <x:c r="N12" t="str">
        <x:v>Capture PN was the manufacturer number; resolved to DigiKey cut tape.</x:v>
      </x:c>
      <x:c r="O12" t="n">
        <x:v>1047383</x:v>
      </x:c>
      <x:c r="P12" t="n">
        <x:v>1</x:v>
      </x:c>
      <x:c r="Q12" s="12" t="n">
        <x:v>0.14</x:v>
      </x:c>
      <x:c r="R12" t="n">
        <x:v>1</x:v>
      </x:c>
      <x:c r="S12" s="11" t="d">
        <x:v>2026-10-21T12:00:00.000Z</x:v>
      </x:c>
      <x:c r="T12" t="str">
        <x:v>https://www.digikey.com/en/products/detail/liteon/LTST-C190KRKT/386817</x:v>
      </x:c>
      <x:c r="U12" t="str">
        <x:v>https://optoelectronics.liteon.com/upload/download/DS-22-99-0151/LTST-C190KRKT.pdf</x:v>
      </x:c>
    </x:row>
    <x:row r="13">
      <x:c r="A13" s="2" t="n">
        <x:v>12</x:v>
      </x:c>
      <x:c r="B13" t="str">
        <x:v>GCT</x:v>
      </x:c>
      <x:c r="C13" t="str">
        <x:v>USB4110-GF-A</x:v>
      </x:c>
      <x:c r="D13" t="str">
        <x:v>CONN RCP USB2.0 TYP C 24P SMD RA</x:v>
      </x:c>
      <x:c r="E13" t="str">
        <x:v>2073-USB4110-GF-A-1-ND</x:v>
      </x:c>
      <x:c r="F13" s="2" t="n">
        <x:v>1</x:v>
      </x:c>
      <x:c r="G13" t="n">
        <x:f>F13</x:f>
        <x:v>1</x:v>
      </x:c>
      <x:c r="H13" s="1" t="str">
        <x:v>USB4110-GF-A</x:v>
      </x:c>
      <x:c r="I13" t="str">
        <x:v>GCT_USB4110-GF-A_REVB</x:v>
      </x:c>
      <x:c r="J13" t="str">
        <x:v>DIGIKEY</x:v>
      </x:c>
      <x:c r="K13" t="str">
        <x:v>FITTED</x:v>
      </x:c>
      <x:c r="L13" s="1" t="str">
        <x:v>J1</x:v>
      </x:c>
      <x:c r="M13"/>
      <x:c r="N13"/>
      <x:c r="O13" t="n">
        <x:v>130726</x:v>
      </x:c>
      <x:c r="P13" t="n">
        <x:v>1</x:v>
      </x:c>
      <x:c r="Q13" s="12" t="n">
        <x:v>1.27</x:v>
      </x:c>
      <x:c r="R13" t="n">
        <x:v>1</x:v>
      </x:c>
      <x:c r="S13" s="11" t="d">
        <x:v>2026-10-21T12:00:00.000Z</x:v>
      </x:c>
      <x:c r="T13" t="str">
        <x:v>https://www.digikey.com/en/products/detail/gct/USB4110-GF-A/10384547</x:v>
      </x:c>
      <x:c r="U13" t="str">
        <x:v>https://gct.co/files/specs/usb4110-spec.pdf</x:v>
      </x:c>
    </x:row>
    <x:row r="14">
      <x:c r="A14" s="2" t="n">
        <x:v>13</x:v>
      </x:c>
      <x:c r="B14"/>
      <x:c r="C14"/>
      <x:c r="D14" t="str">
        <x:v>32.768 kHz MEASUREMENT PADS</x:v>
      </x:c>
      <x:c r="E14"/>
      <x:c r="F14" s="2" t="n">
        <x:v>1</x:v>
      </x:c>
      <x:c r="G14" t="n">
        <x:f>0</x:f>
        <x:v>0</x:v>
      </x:c>
      <x:c r="H14" s="1" t="str">
        <x:v>32KOUT</x:v>
      </x:c>
      <x:c r="I14" t="str">
        <x:v>jumper2</x:v>
      </x:c>
      <x:c r="J14" t="str">
        <x:v>N/A</x:v>
      </x:c>
      <x:c r="K14" t="str">
        <x:v>NO PURCHASE</x:v>
      </x:c>
      <x:c r="L14" s="1" t="str">
        <x:v>J2</x:v>
      </x:c>
      <x:c r="M14"/>
      <x:c r="N14" t="str">
        <x:v>Bare measurement pads; no header purchase. Isolate stub near crystal when using Y1.</x:v>
      </x:c>
      <x:c r="O14"/>
      <x:c r="P14"/>
      <x:c r="Q14" s="12"/>
      <x:c r="R14"/>
      <x:c r="S14" s="11"/>
      <x:c r="T14"/>
      <x:c r="U14"/>
    </x:row>
    <x:row r="15">
      <x:c r="A15" s="2" t="n">
        <x:v>14</x:v>
      </x:c>
      <x:c r="B15" t="str">
        <x:v>Samtec Inc.</x:v>
      </x:c>
      <x:c r="C15" t="str">
        <x:v>SMA-J-P-H-ST-EM1</x:v>
      </x:c>
      <x:c r="D15" t="str">
        <x:v>CONN SMA JACK STR 50OHM EDGE MNT</x:v>
      </x:c>
      <x:c r="E15" t="str">
        <x:v>SAM8857-ND</x:v>
      </x:c>
      <x:c r="F15" s="2" t="n">
        <x:v>1</x:v>
      </x:c>
      <x:c r="G15" t="n">
        <x:f>F15</x:f>
        <x:v>1</x:v>
      </x:c>
      <x:c r="H15" s="1" t="str">
        <x:v>CONN_COAX3_1</x:v>
      </x:c>
      <x:c r="I15" t="str">
        <x:v>CONN_SMA-J-P-H-ST-EM1_SAI</x:v>
      </x:c>
      <x:c r="J15" t="str">
        <x:v>DIGIKEY</x:v>
      </x:c>
      <x:c r="K15" t="str">
        <x:v>FITTED</x:v>
      </x:c>
      <x:c r="L15" s="1" t="str">
        <x:v>J3</x:v>
      </x:c>
      <x:c r="M15"/>
      <x:c r="N15"/>
      <x:c r="O15" t="n">
        <x:v>41049</x:v>
      </x:c>
      <x:c r="P15" t="n">
        <x:v>1</x:v>
      </x:c>
      <x:c r="Q15" s="12" t="n">
        <x:v>2.65</x:v>
      </x:c>
      <x:c r="R15" t="n">
        <x:v>1</x:v>
      </x:c>
      <x:c r="S15" s="11" t="d">
        <x:v>2026-10-21T12:00:00.000Z</x:v>
      </x:c>
      <x:c r="T15" t="str">
        <x:v>https://www.digikey.com/en/products/detail/samtec-inc/SMA-J-P-H-ST-EM1/2602450</x:v>
      </x:c>
      <x:c r="U15" t="str">
        <x:v>https://mm.digikey.com/Volume0/opasdata/d220001/medias/docus/6129/sma-j-p-x-st-em1-mkt.pdf</x:v>
      </x:c>
    </x:row>
    <x:row r="16">
      <x:c r="A16" s="2" t="n">
        <x:v>15</x:v>
      </x:c>
      <x:c r="B16" t="str">
        <x:v>Same Sky (Formerly CUI Devices)</x:v>
      </x:c>
      <x:c r="C16" t="str">
        <x:v>SJ-2523-SMT-TR</x:v>
      </x:c>
      <x:c r="D16" t="str">
        <x:v>CONN JACK STEREO 2.5MM SMD R/A</x:v>
      </x:c>
      <x:c r="E16" t="str">
        <x:v>CP-2523SJCT-ND</x:v>
      </x:c>
      <x:c r="F16" s="2" t="n">
        <x:v>1</x:v>
      </x:c>
      <x:c r="G16" t="n">
        <x:f>F16</x:f>
        <x:v>1</x:v>
      </x:c>
      <x:c r="H16" s="1" t="str">
        <x:v>SJ-2523-SMT-TR</x:v>
      </x:c>
      <x:c r="I16" t="str">
        <x:v>CONN_SJ-2523-SMT-TR_CUD</x:v>
      </x:c>
      <x:c r="J16" t="str">
        <x:v>DIGIKEY</x:v>
      </x:c>
      <x:c r="K16" t="str">
        <x:v>FITTED</x:v>
      </x:c>
      <x:c r="L16" s="1" t="str">
        <x:v>J5</x:v>
      </x:c>
      <x:c r="M16"/>
      <x:c r="N16"/>
      <x:c r="O16" t="n">
        <x:v>31308</x:v>
      </x:c>
      <x:c r="P16" t="n">
        <x:v>1</x:v>
      </x:c>
      <x:c r="Q16" s="12" t="n">
        <x:v>1.1</x:v>
      </x:c>
      <x:c r="R16" t="n">
        <x:v>1</x:v>
      </x:c>
      <x:c r="S16" s="11" t="d">
        <x:v>2026-10-21T12:00:00.000Z</x:v>
      </x:c>
      <x:c r="T16" t="str">
        <x:v>https://www.digikey.com/en/products/detail/same-sky-formerly-cui-devices/SJ-2523-SMT-TR/281300</x:v>
      </x:c>
      <x:c r="U16" t="str">
        <x:v>https://www.cuidevices.com/product/resource/sj-252x-smt.pdf</x:v>
      </x:c>
    </x:row>
    <x:row r="17">
      <x:c r="A17" s="2" t="n">
        <x:v>16</x:v>
      </x:c>
      <x:c r="B17" t="str">
        <x:v>onsemi</x:v>
      </x:c>
      <x:c r="C17" t="str">
        <x:v>FDN340P</x:v>
      </x:c>
      <x:c r="D17" t="str">
        <x:v>MOSFET P-CH 20V 2A SUPERSOT3</x:v>
      </x:c>
      <x:c r="E17" t="str">
        <x:v>FDN340PCT-ND</x:v>
      </x:c>
      <x:c r="F17" s="2" t="n">
        <x:v>1</x:v>
      </x:c>
      <x:c r="G17" t="n">
        <x:f>F17</x:f>
        <x:v>1</x:v>
      </x:c>
      <x:c r="H17" t="str">
        <x:v>FDN340P</x:v>
      </x:c>
      <x:c r="I17" t="str">
        <x:v>sot23</x:v>
      </x:c>
      <x:c r="J17" t="str">
        <x:v>DIGIKEY</x:v>
      </x:c>
      <x:c r="K17" t="str">
        <x:v>FITTED</x:v>
      </x:c>
      <x:c r="L17" s="1" t="str">
        <x:v>Q1</x:v>
      </x:c>
      <x:c r="M17"/>
      <x:c r="N17"/>
      <x:c r="O17" t="n">
        <x:v>691</x:v>
      </x:c>
      <x:c r="P17" t="n">
        <x:v>1</x:v>
      </x:c>
      <x:c r="Q17" s="12" t="n">
        <x:v>0.68</x:v>
      </x:c>
      <x:c r="R17" t="n">
        <x:v>1</x:v>
      </x:c>
      <x:c r="S17" s="11" t="d">
        <x:v>2026-10-21T12:00:00.000Z</x:v>
      </x:c>
      <x:c r="T17" t="str">
        <x:v>https://www.digikey.com/en/products/detail/onsemi/FDN340P/965304</x:v>
      </x:c>
      <x:c r="U17" t="str">
        <x:v>https://www.onsemi.com/pdf/datasheet/fdn340p-d.pdf</x:v>
      </x:c>
    </x:row>
    <x:row r="18">
      <x:c r="A18" s="2" t="n">
        <x:v>17</x:v>
      </x:c>
      <x:c r="B18" t="str">
        <x:v>YAGEO</x:v>
      </x:c>
      <x:c r="C18" t="str">
        <x:v>RC0603FR-071KL</x:v>
      </x:c>
      <x:c r="D18" t="str">
        <x:v>RES 1K OHM 1% 1/10W 0603</x:v>
      </x:c>
      <x:c r="E18" t="str">
        <x:v>311-1.00KHRCT-ND</x:v>
      </x:c>
      <x:c r="F18" s="2" t="n">
        <x:v>4</x:v>
      </x:c>
      <x:c r="G18" t="n">
        <x:f>F18</x:f>
        <x:v>4</x:v>
      </x:c>
      <x:c r="H18" s="1" t="str">
        <x:v>1k</x:v>
      </x:c>
      <x:c r="I18" t="str">
        <x:v>G-188</x:v>
      </x:c>
      <x:c r="J18" t="str">
        <x:v>DIGIKEY</x:v>
      </x:c>
      <x:c r="K18" t="str">
        <x:v>RESISTOR</x:v>
      </x:c>
      <x:c r="L18" s="1" t="str">
        <x:v>R7;R27;R39;R40</x:v>
      </x:c>
      <x:c r="M18"/>
      <x:c r="N18" t="str">
        <x:v>0603, 1%, 0.1 W.</x:v>
      </x:c>
      <x:c r="O18" t="n">
        <x:v>2411086</x:v>
      </x:c>
      <x:c r="P18" t="n">
        <x:v>1</x:v>
      </x:c>
      <x:c r="Q18" s="12" t="n">
        <x:v>0.11</x:v>
      </x:c>
      <x:c r="R18" t="n">
        <x:v>1</x:v>
      </x:c>
      <x:c r="S18" s="11" t="d">
        <x:v>2026-10-21T12:00:00.000Z</x:v>
      </x:c>
      <x:c r="T18" t="str">
        <x:v>https://www.digikey.com/en/products/detail/yageo/RC0603FR-071KL/726843</x:v>
      </x:c>
      <x:c r="U18" t="str">
        <x:v>https://yageogroup.com/content/datasheet/asset/file/PYU-RC_GROUP_51_ROHS_L</x:v>
      </x:c>
    </x:row>
    <x:row r="19">
      <x:c r="A19" s="2" t="n">
        <x:v>18</x:v>
      </x:c>
      <x:c r="B19" t="str">
        <x:v>YAGEO</x:v>
      </x:c>
      <x:c r="C19" t="str">
        <x:v>RC0603FR-0733RL</x:v>
      </x:c>
      <x:c r="D19" t="str">
        <x:v>RES 33 OHM 1% 1/10W 0603</x:v>
      </x:c>
      <x:c r="E19" t="str">
        <x:v>13-RC0603FR-0733RLCT-ND</x:v>
      </x:c>
      <x:c r="F19" s="2" t="n">
        <x:v>4</x:v>
      </x:c>
      <x:c r="G19" t="n">
        <x:f>F19</x:f>
        <x:v>4</x:v>
      </x:c>
      <x:c r="H19" s="1" t="str">
        <x:v>33R</x:v>
      </x:c>
      <x:c r="I19" t="str">
        <x:v>G-188</x:v>
      </x:c>
      <x:c r="J19" t="str">
        <x:v>DIGIKEY</x:v>
      </x:c>
      <x:c r="K19" t="str">
        <x:v>RESISTOR</x:v>
      </x:c>
      <x:c r="L19" s="1" t="str">
        <x:v>R8;R9;R37;R41</x:v>
      </x:c>
      <x:c r="M19"/>
      <x:c r="N19" t="str">
        <x:v>0603, 1%, 0.1 W. User-approved change: R37 from 120 to 33 ohms; verify SD clock waveform during bring-up. EDIF/Capture export not changed.</x:v>
      </x:c>
      <x:c r="O19" t="n">
        <x:v>53338</x:v>
      </x:c>
      <x:c r="P19" t="n">
        <x:v>1</x:v>
      </x:c>
      <x:c r="Q19" s="12" t="n">
        <x:v>0.1</x:v>
      </x:c>
      <x:c r="R19" t="n">
        <x:v>1</x:v>
      </x:c>
      <x:c r="S19" s="11" t="d">
        <x:v>2026-10-21T12:00:00.000Z</x:v>
      </x:c>
      <x:c r="T19" t="str">
        <x:v>https://www.digikey.com/en/products/detail/yageo/RC0603FR-0733RL/727158</x:v>
      </x:c>
      <x:c r="U19" t="str">
        <x:v>https://yageogroup.com/content/datasheet/asset/file/PYU-RC_GROUP_51_ROHS_L</x:v>
      </x:c>
    </x:row>
    <x:row r="20">
      <x:c r="A20" s="2" t="n">
        <x:v>19</x:v>
      </x:c>
      <x:c r="B20" t="str">
        <x:v>Vishay Dale</x:v>
      </x:c>
      <x:c r="C20" t="str">
        <x:v>CRCW0603330RFKEA</x:v>
      </x:c>
      <x:c r="D20" t="str">
        <x:v>RES SMD 330 OHM 1% 1/10W 0603</x:v>
      </x:c>
      <x:c r="E20" t="str">
        <x:v>541-330HCT-ND</x:v>
      </x:c>
      <x:c r="F20" s="2" t="n">
        <x:v>3</x:v>
      </x:c>
      <x:c r="G20" t="n">
        <x:f>F20</x:f>
        <x:v>3</x:v>
      </x:c>
      <x:c r="H20" s="1" t="str">
        <x:v>330R</x:v>
      </x:c>
      <x:c r="I20" t="str">
        <x:v>G-188</x:v>
      </x:c>
      <x:c r="J20" t="str">
        <x:v>DIGIKEY</x:v>
      </x:c>
      <x:c r="K20" t="str">
        <x:v>RESISTOR</x:v>
      </x:c>
      <x:c r="L20" s="1" t="str">
        <x:v>R10;R11;R13</x:v>
      </x:c>
      <x:c r="M20"/>
      <x:c r="N20" t="str">
        <x:v>1% Vishay replacement selected because Yageo RC0603FR-07330RL cut tape is out of stock. 0603, 1%, 0.1 W.</x:v>
      </x:c>
      <x:c r="O20" t="n">
        <x:v>125278</x:v>
      </x:c>
      <x:c r="P20" t="n">
        <x:v>1</x:v>
      </x:c>
      <x:c r="Q20" s="12" t="n">
        <x:v>0.1</x:v>
      </x:c>
      <x:c r="R20" t="n">
        <x:v>1</x:v>
      </x:c>
      <x:c r="S20" s="11" t="d">
        <x:v>2026-10-21T12:00:00.000Z</x:v>
      </x:c>
      <x:c r="T20" t="str">
        <x:v>https://www.digikey.com/en/products/detail/vishay-dale/CRCW0603330RFKEA/1174611</x:v>
      </x:c>
      <x:c r="U20" t="str">
        <x:v>https://www.vishay.com/docs/20035/dcrcwe3.pdf</x:v>
      </x:c>
    </x:row>
    <x:row r="21">
      <x:c r="A21" s="2" t="n">
        <x:v>20</x:v>
      </x:c>
      <x:c r="B21" t="str">
        <x:v>YAGEO</x:v>
      </x:c>
      <x:c r="C21" t="str">
        <x:v>RC0603FR-0747KL</x:v>
      </x:c>
      <x:c r="D21" t="str">
        <x:v>RES 47K OHM 1% 1/10W 0603</x:v>
      </x:c>
      <x:c r="E21" t="str">
        <x:v>311-47.0KHRCT-ND</x:v>
      </x:c>
      <x:c r="F21" s="2" t="n">
        <x:v>15</x:v>
      </x:c>
      <x:c r="G21" t="n">
        <x:f>F21</x:f>
        <x:v>15</x:v>
      </x:c>
      <x:c r="H21" s="1" t="str">
        <x:v>47k</x:v>
      </x:c>
      <x:c r="I21" t="str">
        <x:v>G-188</x:v>
      </x:c>
      <x:c r="J21" t="str">
        <x:v>DIGIKEY</x:v>
      </x:c>
      <x:c r="K21" t="str">
        <x:v>RESISTOR</x:v>
      </x:c>
      <x:c r="L21" s="1" t="str">
        <x:v>R12;R14;R15;R16;R23;R24;R28;R32;R33;R34;R35;R36;R38;R47;R48</x:v>
      </x:c>
      <x:c r="M21"/>
      <x:c r="N21" t="str">
        <x:v>0603, 1%, 0.1 W.</x:v>
      </x:c>
      <x:c r="O21" t="n">
        <x:v>1264017</x:v>
      </x:c>
      <x:c r="P21" t="n">
        <x:v>1</x:v>
      </x:c>
      <x:c r="Q21" s="12" t="n">
        <x:v>0.025</x:v>
      </x:c>
      <x:c r="R21" t="n">
        <x:v>10</x:v>
      </x:c>
      <x:c r="S21" s="11" t="d">
        <x:v>2026-10-21T12:00:00.000Z</x:v>
      </x:c>
      <x:c r="T21" t="str">
        <x:v>https://www.digikey.com/en/products/detail/yageo/RC0603FR-0747KL/727253</x:v>
      </x:c>
      <x:c r="U21" t="str">
        <x:v>https://yageogroup.com/content/datasheet/asset/file/PYU-RC_GROUP_51_ROHS_L</x:v>
      </x:c>
    </x:row>
    <x:row r="22">
      <x:c r="A22" s="2" t="n">
        <x:v>21</x:v>
      </x:c>
      <x:c r="B22" t="str">
        <x:v>YAGEO</x:v>
      </x:c>
      <x:c r="C22" t="str">
        <x:v>RC0603FR-075K1L</x:v>
      </x:c>
      <x:c r="D22" t="str">
        <x:v>RES 5.1K OHM 1% 1/10W 0603</x:v>
      </x:c>
      <x:c r="E22" t="str">
        <x:v>311-5.10KHRCT-ND</x:v>
      </x:c>
      <x:c r="F22" s="2" t="n">
        <x:v>8</x:v>
      </x:c>
      <x:c r="G22" t="n">
        <x:f>F22</x:f>
        <x:v>8</x:v>
      </x:c>
      <x:c r="H22" s="1" t="str">
        <x:v>5.1k</x:v>
      </x:c>
      <x:c r="I22" t="str">
        <x:v>G-188</x:v>
      </x:c>
      <x:c r="J22" t="str">
        <x:v>DIGIKEY</x:v>
      </x:c>
      <x:c r="K22" t="str">
        <x:v>RESISTOR</x:v>
      </x:c>
      <x:c r="L22" s="1" t="str">
        <x:v>R1;R2;R3;R4;R5;R6;R17;R18</x:v>
      </x:c>
      <x:c r="M22"/>
      <x:c r="N22" t="str">
        <x:v>0603, 1%, 0.1 W. User-approved change: R1-R6 from 4.7k to 5.1k; consolidate with R17/R18. EDIF/Capture export not changed.</x:v>
      </x:c>
      <x:c r="O22" t="n">
        <x:v>446991</x:v>
      </x:c>
      <x:c r="P22" t="n">
        <x:v>1</x:v>
      </x:c>
      <x:c r="Q22" s="12" t="n">
        <x:v>0.1</x:v>
      </x:c>
      <x:c r="R22" t="n">
        <x:v>1</x:v>
      </x:c>
      <x:c r="S22" s="11" t="d">
        <x:v>2026-10-21T12:00:00.000Z</x:v>
      </x:c>
      <x:c r="T22" t="str">
        <x:v>https://www.digikey.com/en/products/detail/yageo/RC0603FR-075K1L/727268</x:v>
      </x:c>
      <x:c r="U22" t="str">
        <x:v>https://yageogroup.com/content/datasheet/asset/file/PYU-RC_GROUP_51_ROHS_L</x:v>
      </x:c>
    </x:row>
    <x:row r="23">
      <x:c r="A23" s="2" t="n">
        <x:v>22</x:v>
      </x:c>
      <x:c r="B23" t="str">
        <x:v>Vishay Dale</x:v>
      </x:c>
      <x:c r="C23" t="str">
        <x:v>CRCW06032K20FKEA</x:v>
      </x:c>
      <x:c r="D23" t="str">
        <x:v>RES SMD 2.2K OHM 1% 1/10W 0603</x:v>
      </x:c>
      <x:c r="E23" t="str">
        <x:v>541-2.20KHCT-ND</x:v>
      </x:c>
      <x:c r="F23" s="2" t="n">
        <x:v>2</x:v>
      </x:c>
      <x:c r="G23" t="n">
        <x:f>F23</x:f>
        <x:v>2</x:v>
      </x:c>
      <x:c r="H23" s="1" t="str">
        <x:v>2.2k</x:v>
      </x:c>
      <x:c r="I23" t="str">
        <x:v>G-188</x:v>
      </x:c>
      <x:c r="J23" t="str">
        <x:v>DIGIKEY</x:v>
      </x:c>
      <x:c r="K23" t="str">
        <x:v>RESISTOR</x:v>
      </x:c>
      <x:c r="L23" s="1" t="str">
        <x:v>R19;R20</x:v>
      </x:c>
      <x:c r="M23"/>
      <x:c r="N23" t="str">
        <x:v>1% Vishay replacement selected because Yageo RC0603FR-072K2L cut tape is out of stock. 0603, 1%, 0.1 W.</x:v>
      </x:c>
      <x:c r="O23" t="n">
        <x:v>197612</x:v>
      </x:c>
      <x:c r="P23" t="n">
        <x:v>1</x:v>
      </x:c>
      <x:c r="Q23" s="12" t="n">
        <x:v>0.1</x:v>
      </x:c>
      <x:c r="R23" t="n">
        <x:v>1</x:v>
      </x:c>
      <x:c r="S23" s="11" t="d">
        <x:v>2026-10-21T12:00:00.000Z</x:v>
      </x:c>
      <x:c r="T23" t="str">
        <x:v>https://www.digikey.com/en/products/detail/vishay-dale/CRCW06032K20FKEA/1174704</x:v>
      </x:c>
      <x:c r="U23" t="str">
        <x:v>https://www.vishay.com/docs/20035/dcrcwe3.pdf</x:v>
      </x:c>
    </x:row>
    <x:row r="24">
      <x:c r="A24" s="2" t="n">
        <x:v>23</x:v>
      </x:c>
      <x:c r="B24" t="str">
        <x:v>Vishay Dale</x:v>
      </x:c>
      <x:c r="C24" t="str">
        <x:v>CRCW060310K0FKEA</x:v>
      </x:c>
      <x:c r="D24" t="str">
        <x:v>RES SMD 10K OHM 1% 1/10W 0603</x:v>
      </x:c>
      <x:c r="E24" t="str">
        <x:v>541-10.0KHCT-ND</x:v>
      </x:c>
      <x:c r="F24" s="2" t="n">
        <x:v>3</x:v>
      </x:c>
      <x:c r="G24" t="n">
        <x:f>F24</x:f>
        <x:v>3</x:v>
      </x:c>
      <x:c r="H24" s="1" t="str">
        <x:v>10k</x:v>
      </x:c>
      <x:c r="I24" t="str">
        <x:v>G-188</x:v>
      </x:c>
      <x:c r="J24" t="str">
        <x:v>DIGIKEY</x:v>
      </x:c>
      <x:c r="K24" t="str">
        <x:v>RESISTOR</x:v>
      </x:c>
      <x:c r="L24" s="1" t="str">
        <x:v>R21;R22;R30</x:v>
      </x:c>
      <x:c r="M24"/>
      <x:c r="N24" t="str">
        <x:v>1% Vishay replacement selected because Yageo RC0603FR-0710KL cut tape is out of stock. 0603, 1%, 0.1 W.</x:v>
      </x:c>
      <x:c r="O24" t="n">
        <x:v>3912657</x:v>
      </x:c>
      <x:c r="P24" t="n">
        <x:v>1</x:v>
      </x:c>
      <x:c r="Q24" s="12" t="n">
        <x:v>0.1</x:v>
      </x:c>
      <x:c r="R24" t="n">
        <x:v>1</x:v>
      </x:c>
      <x:c r="S24" s="11" t="d">
        <x:v>2026-10-21T12:00:00.000Z</x:v>
      </x:c>
      <x:c r="T24" t="str">
        <x:v>https://www.digikey.com/en/products/detail/vishay-dale/CRCW060310K0FKEA/1174782</x:v>
      </x:c>
      <x:c r="U24" t="str">
        <x:v>https://www.vishay.com/docs/20035/dcrcwe3.pdf</x:v>
      </x:c>
    </x:row>
    <x:row r="25">
      <x:c r="A25" s="2" t="n">
        <x:v>24</x:v>
      </x:c>
      <x:c r="B25" t="str">
        <x:v>YAGEO</x:v>
      </x:c>
      <x:c r="C25" t="str">
        <x:v>RC0603FR-076K8L</x:v>
      </x:c>
      <x:c r="D25" t="str">
        <x:v>RES 6.8K OHM 1% 1/10W 0603</x:v>
      </x:c>
      <x:c r="E25" t="str">
        <x:v>311-6.80KHRCT-ND</x:v>
      </x:c>
      <x:c r="F25" s="2" t="n">
        <x:v>1</x:v>
      </x:c>
      <x:c r="G25" t="n">
        <x:f>F25</x:f>
        <x:v>1</x:v>
      </x:c>
      <x:c r="H25" s="1" t="str">
        <x:v>6.8k</x:v>
      </x:c>
      <x:c r="I25" t="str">
        <x:v>G-188</x:v>
      </x:c>
      <x:c r="J25" t="str">
        <x:v>DIGIKEY</x:v>
      </x:c>
      <x:c r="K25" t="str">
        <x:v>RESISTOR</x:v>
      </x:c>
      <x:c r="L25" s="1" t="str">
        <x:v>R26</x:v>
      </x:c>
      <x:c r="M25"/>
      <x:c r="N25" t="str">
        <x:v>0603, 1%, 0.1 W.</x:v>
      </x:c>
      <x:c r="O25" t="n">
        <x:v>219137</x:v>
      </x:c>
      <x:c r="P25" t="n">
        <x:v>1</x:v>
      </x:c>
      <x:c r="Q25" s="12" t="n">
        <x:v>0.1</x:v>
      </x:c>
      <x:c r="R25" t="n">
        <x:v>1</x:v>
      </x:c>
      <x:c r="S25" s="11" t="d">
        <x:v>2026-10-21T12:00:00.000Z</x:v>
      </x:c>
      <x:c r="T25" t="str">
        <x:v>https://www.digikey.com/en/products/detail/yageo/RC0603FR-076K8L/727323</x:v>
      </x:c>
      <x:c r="U25" t="str">
        <x:v>https://yageogroup.com/content/datasheet/asset/file/PYU-RC_GROUP_51_ROHS_L</x:v>
      </x:c>
    </x:row>
    <x:row r="26">
      <x:c r="A26" s="2" t="n">
        <x:v>25</x:v>
      </x:c>
      <x:c r="B26"/>
      <x:c r="C26"/>
      <x:c r="D26" t="str">
        <x:v>DO NOT POPULATE</x:v>
      </x:c>
      <x:c r="E26"/>
      <x:c r="F26" s="2" t="n">
        <x:v>4</x:v>
      </x:c>
      <x:c r="G26" t="n">
        <x:f>0</x:f>
        <x:v>0</x:v>
      </x:c>
      <x:c r="H26" s="1" t="str">
        <x:v>DNP</x:v>
      </x:c>
      <x:c r="I26" t="str">
        <x:v>G-188</x:v>
      </x:c>
      <x:c r="J26" t="str">
        <x:v>N/A</x:v>
      </x:c>
      <x:c r="K26" t="str">
        <x:v>DNP</x:v>
      </x:c>
      <x:c r="L26" s="1" t="str">
        <x:v>R29;R44;R49;R50</x:v>
      </x:c>
      <x:c r="M26"/>
      <x:c r="N26" t="str">
        <x:v>DNP. R49/R50 are alternate tip/ring links; do not fit alongside R45/R46.</x:v>
      </x:c>
      <x:c r="O26"/>
      <x:c r="P26"/>
      <x:c r="Q26" s="12"/>
      <x:c r="R26"/>
      <x:c r="S26" s="11"/>
      <x:c r="T26"/>
      <x:c r="U26"/>
    </x:row>
    <x:row r="27">
      <x:c r="A27" s="2" t="n">
        <x:v>26</x:v>
      </x:c>
      <x:c r="B27" t="str">
        <x:v>YAGEO</x:v>
      </x:c>
      <x:c r="C27" t="str">
        <x:v>PF0603FRE7T0R01Z</x:v>
      </x:c>
      <x:c r="D27" t="str">
        <x:v>RES 0.01 OHM 1% 0.3W 0603</x:v>
      </x:c>
      <x:c r="E27" t="str">
        <x:v>311-0.01NRCT-ND</x:v>
      </x:c>
      <x:c r="F27" s="2" t="n">
        <x:v>1</x:v>
      </x:c>
      <x:c r="G27" t="n">
        <x:f>F27</x:f>
        <x:v>1</x:v>
      </x:c>
      <x:c r="H27" s="1" t="str">
        <x:v>10 mOhm</x:v>
      </x:c>
      <x:c r="I27" t="str">
        <x:v>G-188-M</x:v>
      </x:c>
      <x:c r="J27" t="str">
        <x:v>DIGIKEY</x:v>
      </x:c>
      <x:c r="K27" t="str">
        <x:v>RESISTOR</x:v>
      </x:c>
      <x:c r="L27" s="1" t="str">
        <x:v>R31</x:v>
      </x:c>
      <x:c r="M27"/>
      <x:c r="N27" t="str">
        <x:v>Retain assigned 10 mOhm, 1%, 0.3 W current-sense resistor.</x:v>
      </x:c>
      <x:c r="O27" t="n">
        <x:v>30751</x:v>
      </x:c>
      <x:c r="P27" t="n">
        <x:v>1</x:v>
      </x:c>
      <x:c r="Q27" s="12" t="n">
        <x:v>1.33</x:v>
      </x:c>
      <x:c r="R27" t="n">
        <x:v>1</x:v>
      </x:c>
      <x:c r="S27" s="11" t="d">
        <x:v>2026-10-21T12:00:00.000Z</x:v>
      </x:c>
      <x:c r="T27" t="str">
        <x:v>https://www.digikey.com/en/products/detail/yageo/PF0603FRE7T0R01Z/2827678</x:v>
      </x:c>
      <x:c r="U27" t="str">
        <x:v>https://mm.digikey.com/Volume0/opasdata/d220001/medias/docus/373/PF0603_Series.pdf</x:v>
      </x:c>
    </x:row>
    <x:row r="28">
      <x:c r="A28" s="2" t="n">
        <x:v>27</x:v>
      </x:c>
      <x:c r="B28" t="str">
        <x:v>YAGEO</x:v>
      </x:c>
      <x:c r="C28" t="str">
        <x:v>RC0603JR-070RL</x:v>
      </x:c>
      <x:c r="D28" t="str">
        <x:v>RES 0 OHM JUMPER 1/10W 0603</x:v>
      </x:c>
      <x:c r="E28" t="str">
        <x:v>311-0.0GRCT-ND</x:v>
      </x:c>
      <x:c r="F28" s="2" t="n">
        <x:v>2</x:v>
      </x:c>
      <x:c r="G28" t="n">
        <x:f>F28</x:f>
        <x:v>2</x:v>
      </x:c>
      <x:c r="H28" s="1" t="str">
        <x:v>0R</x:v>
      </x:c>
      <x:c r="I28" t="str">
        <x:v>G-188</x:v>
      </x:c>
      <x:c r="J28" t="str">
        <x:v>DIGIKEY</x:v>
      </x:c>
      <x:c r="K28" t="str">
        <x:v>RESISTOR</x:v>
      </x:c>
      <x:c r="L28" s="1" t="str">
        <x:v>R45;R46</x:v>
      </x:c>
      <x:c r="M28"/>
      <x:c r="N28" t="str">
        <x:v>Zero-ohm jumper; percentage tolerance not applicable. Fit R45/R46 only.</x:v>
      </x:c>
      <x:c r="O28" t="n">
        <x:v>8818621</x:v>
      </x:c>
      <x:c r="P28" t="n">
        <x:v>1</x:v>
      </x:c>
      <x:c r="Q28" s="12" t="n">
        <x:v>0.1</x:v>
      </x:c>
      <x:c r="R28" t="n">
        <x:v>1</x:v>
      </x:c>
      <x:c r="S28" s="11" t="d">
        <x:v>2026-10-21T12:00:00.000Z</x:v>
      </x:c>
      <x:c r="T28" t="str">
        <x:v>https://www.digikey.com/en/products/detail/yageo/RC0603JR-070RL/726675</x:v>
      </x:c>
      <x:c r="U28" t="str">
        <x:v>https://yageogroup.com/content/datasheet/asset/file/PYU-RC_GROUP_51_ROHS_L</x:v>
      </x:c>
    </x:row>
    <x:row r="29">
      <x:c r="A29" s="2" t="n">
        <x:v>28</x:v>
      </x:c>
      <x:c r="B29" t="str">
        <x:v>E-Switch</x:v>
      </x:c>
      <x:c r="C29" t="str">
        <x:v>TL1100F260Q</x:v>
      </x:c>
      <x:c r="D29" t="str">
        <x:v>SWITCH TACTILE SPST-NO 0.05A 12V</x:v>
      </x:c>
      <x:c r="E29" t="str">
        <x:v>EG5992-ND</x:v>
      </x:c>
      <x:c r="F29" s="2" t="n">
        <x:v>2</x:v>
      </x:c>
      <x:c r="G29" t="n">
        <x:f>F29</x:f>
        <x:v>2</x:v>
      </x:c>
      <x:c r="H29" s="1" t="str">
        <x:v>TL1100F260Q</x:v>
      </x:c>
      <x:c r="I29" t="str">
        <x:v>TL1100F</x:v>
      </x:c>
      <x:c r="J29" t="str">
        <x:v>DIGIKEY</x:v>
      </x:c>
      <x:c r="K29" t="str">
        <x:v>FITTED</x:v>
      </x:c>
      <x:c r="L29" s="1" t="str">
        <x:v>SW1;SW2</x:v>
      </x:c>
      <x:c r="M29"/>
      <x:c r="N29"/>
      <x:c r="O29" t="n">
        <x:v>1841</x:v>
      </x:c>
      <x:c r="P29" t="n">
        <x:v>1</x:v>
      </x:c>
      <x:c r="Q29" s="12" t="n">
        <x:v>0.56</x:v>
      </x:c>
      <x:c r="R29" t="n">
        <x:v>1</x:v>
      </x:c>
      <x:c r="S29" s="11" t="d">
        <x:v>2026-10-21T12:00:00.000Z</x:v>
      </x:c>
      <x:c r="T29" t="str">
        <x:v>https://www.digikey.com/en/products/detail/e-switch/TL1100F260Q/1805420</x:v>
      </x:c>
      <x:c r="U29" t="str">
        <x:v>https://configured-product-images.s3.amazonaws.com/Datasheets/TL1100.pdf</x:v>
      </x:c>
    </x:row>
    <x:row r="30">
      <x:c r="A30" s="2" t="n">
        <x:v>29</x:v>
      </x:c>
      <x:c r="B30" t="str">
        <x:v>C&amp;K</x:v>
      </x:c>
      <x:c r="C30" s="3" t="str">
        <x:v>JS102011SAQN</x:v>
      </x:c>
      <x:c r="D30" t="str">
        <x:v>SWITCH SLIDE SPDT 300MA 6V</x:v>
      </x:c>
      <x:c r="E30" t="str">
        <x:v>401-1999-1-ND</x:v>
      </x:c>
      <x:c r="F30" s="2" t="n">
        <x:v>1</x:v>
      </x:c>
      <x:c r="G30" t="n">
        <x:f>F30</x:f>
        <x:v>1</x:v>
      </x:c>
      <x:c r="H30" s="1" t="str">
        <x:v>JS102011SAQN</x:v>
      </x:c>
      <x:c r="I30" t="str">
        <x:v>SW_JS102011SAQN</x:v>
      </x:c>
      <x:c r="J30" t="str">
        <x:v>DIGIKEY</x:v>
      </x:c>
      <x:c r="K30" t="str">
        <x:v>FITTED</x:v>
      </x:c>
      <x:c r="L30" s="1" t="str">
        <x:v>S1</x:v>
      </x:c>
      <x:c r="M30"/>
      <x:c r="N30"/>
      <x:c r="O30" t="n">
        <x:v>53898</x:v>
      </x:c>
      <x:c r="P30" t="n">
        <x:v>1</x:v>
      </x:c>
      <x:c r="Q30" s="12" t="n">
        <x:v>0.9</x:v>
      </x:c>
      <x:c r="R30" t="n">
        <x:v>1</x:v>
      </x:c>
      <x:c r="S30" s="11" t="d">
        <x:v>2026-10-21T12:00:00.000Z</x:v>
      </x:c>
      <x:c r="T30" t="str">
        <x:v>https://www.digikey.com/en/products/detail/c-k/JS102011SAQN/1640095</x:v>
      </x:c>
      <x:c r="U30" t="str">
        <x:v>https://www.littelfuse.com/assetdocs/littelfuse-c-k-slide-js-series-datasheet?assetguid=aba42b08-0d2c-423b-813d-a2faa5a3bb14</x:v>
      </x:c>
    </x:row>
    <x:row r="31">
      <x:c r="A31" s="2" t="n">
        <x:v>30</x:v>
      </x:c>
      <x:c r="B31" t="str">
        <x:v>u-blox</x:v>
      </x:c>
      <x:c r="C31" t="str">
        <x:v>NORA-B106-00B</x:v>
      </x:c>
      <x:c r="D31" t="str">
        <x:v>RF TXRX MOD 802.15.4 BT TH SMD</x:v>
      </x:c>
      <x:c r="E31" t="str">
        <x:v>672-NORA-B106-00BCT-ND</x:v>
      </x:c>
      <x:c r="F31" s="2" t="n">
        <x:v>1</x:v>
      </x:c>
      <x:c r="G31" t="n">
        <x:f>F31</x:f>
        <x:v>1</x:v>
      </x:c>
      <x:c r="H31" s="1" t="str">
        <x:v>NORA-B106-00B</x:v>
      </x:c>
      <x:c r="I31" t="str">
        <x:v>XCVR_NORA-B106-00B</x:v>
      </x:c>
      <x:c r="J31" t="str">
        <x:v>DIGIKEY</x:v>
      </x:c>
      <x:c r="K31" t="str">
        <x:v>FITTED</x:v>
      </x:c>
      <x:c r="L31" s="1" t="str">
        <x:v>U1</x:v>
      </x:c>
      <x:c r="M31"/>
      <x:c r="N31"/>
      <x:c r="O31" t="n">
        <x:v>9031</x:v>
      </x:c>
      <x:c r="P31" t="n">
        <x:v>1</x:v>
      </x:c>
      <x:c r="Q31" s="12" t="n">
        <x:v>10.89</x:v>
      </x:c>
      <x:c r="R31" t="n">
        <x:v>1</x:v>
      </x:c>
      <x:c r="S31" s="11" t="d">
        <x:v>2026-10-21T12:00:00.000Z</x:v>
      </x:c>
      <x:c r="T31" t="str">
        <x:v>https://www.digikey.com/en/products/detail/u-blox/NORA-B106-00B/13534376</x:v>
      </x:c>
      <x:c r="U31" t="str">
        <x:v>https://www.u-blox.com/en/docs/UBX-20027119</x:v>
      </x:c>
    </x:row>
    <x:row r="32">
      <x:c r="A32" s="2" t="n">
        <x:v>31</x:v>
      </x:c>
      <x:c r="B32"/>
      <x:c r="C32"/>
      <x:c r="D32" t="str">
        <x:v>TAG-CONNECT PCB CONTACTS</x:v>
      </x:c>
      <x:c r="E32"/>
      <x:c r="F32" s="2" t="n">
        <x:v>1</x:v>
      </x:c>
      <x:c r="G32" t="n">
        <x:f>0</x:f>
        <x:v>0</x:v>
      </x:c>
      <x:c r="H32" t="str">
        <x:v>TC2030_NP</x:v>
      </x:c>
      <x:c r="I32" t="str">
        <x:v>TC2030</x:v>
      </x:c>
      <x:c r="J32" t="str">
        <x:v>N/A</x:v>
      </x:c>
      <x:c r="K32" t="str">
        <x:v>NO PURCHASE</x:v>
      </x:c>
      <x:c r="L32" t="str">
        <x:v>U2</x:v>
      </x:c>
      <x:c r="M32"/>
      <x:c r="N32" t="str">
        <x:v>PCB-only Tag-Connect footprint. Cable is listed on Sheet1; no fitted connector.</x:v>
      </x:c>
      <x:c r="O32"/>
      <x:c r="P32"/>
      <x:c r="Q32" s="12"/>
      <x:c r="R32"/>
      <x:c r="S32" s="11"/>
      <x:c r="T32"/>
      <x:c r="U32"/>
    </x:row>
    <x:row r="33">
      <x:c r="A33" s="2" t="n">
        <x:v>32</x:v>
      </x:c>
      <x:c r="B33" t="str">
        <x:v>SiTime</x:v>
      </x:c>
      <x:c r="C33" t="str">
        <x:v>SIT1566AC-JV-XXE-32.768E</x:v>
      </x:c>
      <x:c r="D33" t="str">
        <x:v>MEMS OSC TCXO 32.768KHZ CSP</x:v>
      </x:c>
      <x:c r="E33" t="str">
        <x:v>1473-SIT1566AC-JV-XXE-32.768ECT-ND</x:v>
      </x:c>
      <x:c r="F33" s="2" t="n">
        <x:v>1</x:v>
      </x:c>
      <x:c r="G33" t="n">
        <x:f>0</x:f>
        <x:v>0</x:v>
      </x:c>
      <x:c r="H33" s="1" t="str">
        <x:v>DNP - SiT1566</x:v>
      </x:c>
      <x:c r="I33" t="str">
        <x:v>sit-csp</x:v>
      </x:c>
      <x:c r="J33" t="str">
        <x:v>DIGIKEY</x:v>
      </x:c>
      <x:c r="K33" t="str">
        <x:v>DNP</x:v>
      </x:c>
      <x:c r="L33" s="1" t="str">
        <x:v>U3</x:v>
      </x:c>
      <x:c r="M33"/>
      <x:c r="N33" t="str">
        <x:v>DNP. Retain alternate oscillator PN for reference; Y1 crystal is populated.</x:v>
      </x:c>
      <x:c r="O33" t="n">
        <x:v>2355</x:v>
      </x:c>
      <x:c r="P33" t="n">
        <x:v>1</x:v>
      </x:c>
      <x:c r="Q33" s="12" t="n">
        <x:v>4.11</x:v>
      </x:c>
      <x:c r="R33" t="n">
        <x:v>1</x:v>
      </x:c>
      <x:c r="S33" s="11" t="d">
        <x:v>2026-10-21T12:00:00.000Z</x:v>
      </x:c>
      <x:c r="T33" t="str">
        <x:v>https://www.digikey.com/en/products/detail/sitime/SIT1566AC-JV-XXE-32-768E/15208307</x:v>
      </x:c>
      <x:c r="U33" t="str">
        <x:v>https://www.sitime.com/datasheet/SiT1566</x:v>
      </x:c>
    </x:row>
    <x:row r="34">
      <x:c r="A34" s="2" t="n">
        <x:v>33</x:v>
      </x:c>
      <x:c r="B34" t="str">
        <x:v>Infineon Technologies</x:v>
      </x:c>
      <x:c r="C34" t="str">
        <x:v>FM25CL64B-GTR</x:v>
      </x:c>
      <x:c r="D34" t="str">
        <x:v>IC FRAM 64KBIT SPI 20MHZ 8SOIC</x:v>
      </x:c>
      <x:c r="E34" t="str">
        <x:v>448-FM25CL64B-GTRCT-ND</x:v>
      </x:c>
      <x:c r="F34" s="2" t="n">
        <x:v>1</x:v>
      </x:c>
      <x:c r="G34" t="n">
        <x:f>F34</x:f>
        <x:v>1</x:v>
      </x:c>
      <x:c r="H34" s="1" t="str">
        <x:v>FM25CL64B-SOIC</x:v>
      </x:c>
      <x:c r="I34" t="str">
        <x:v>soic8</x:v>
      </x:c>
      <x:c r="J34" t="str">
        <x:v>DIGIKEY</x:v>
      </x:c>
      <x:c r="K34" t="str">
        <x:v>FITTED</x:v>
      </x:c>
      <x:c r="L34" s="1" t="str">
        <x:v>U4</x:v>
      </x:c>
      <x:c r="M34"/>
      <x:c r="N34"/>
      <x:c r="O34" t="n">
        <x:v>8480</x:v>
      </x:c>
      <x:c r="P34" t="n">
        <x:v>1</x:v>
      </x:c>
      <x:c r="Q34" s="12" t="n">
        <x:v>3.55</x:v>
      </x:c>
      <x:c r="R34" t="n">
        <x:v>1</x:v>
      </x:c>
      <x:c r="S34" s="11" t="d">
        <x:v>2026-10-21T12:00:00.000Z</x:v>
      </x:c>
      <x:c r="T34" t="str">
        <x:v>https://www.digikey.com/en/products/detail/infineon-technologies/FM25CL64B-GTR/3788952</x:v>
      </x:c>
      <x:c r="U34" t="str">
        <x:v>https://www.infineon.com/dgdl/Infineon-FM25CL64B_64-Kbit_(8_K_8)_Serial_(SPI)_F-RAM-DataSheet-v11_00-EN.pdf?fileId=8ac78c8c7d0d8da4017d0ebdfcd83119&amp;utm_source=cypress&amp;utm_medium=referral&amp;utm_campaign=202110_globe_en_all_integration-files</x:v>
      </x:c>
    </x:row>
    <x:row r="35">
      <x:c r="A35" s="2" t="n">
        <x:v>34</x:v>
      </x:c>
      <x:c r="B35" t="str">
        <x:v>onsemi</x:v>
      </x:c>
      <x:c r="C35" t="str">
        <x:v>FDC6305N</x:v>
      </x:c>
      <x:c r="D35" t="str">
        <x:v>MOSFET 2N-CH 20V 2.7A SSOT6</x:v>
      </x:c>
      <x:c r="E35" t="str">
        <x:v>FDC6305NCT-ND</x:v>
      </x:c>
      <x:c r="F35" s="2" t="n">
        <x:v>2</x:v>
      </x:c>
      <x:c r="G35" t="n">
        <x:f>F35</x:f>
        <x:v>2</x:v>
      </x:c>
      <x:c r="H35" s="1" t="str">
        <x:v>FDC6305N</x:v>
      </x:c>
      <x:c r="I35" t="str">
        <x:v>DBV6</x:v>
      </x:c>
      <x:c r="J35" t="str">
        <x:v>DIGIKEY</x:v>
      </x:c>
      <x:c r="K35" t="str">
        <x:v>FITTED</x:v>
      </x:c>
      <x:c r="L35" s="1" t="str">
        <x:v>U5;U7</x:v>
      </x:c>
      <x:c r="M35"/>
      <x:c r="N35"/>
      <x:c r="O35" t="n">
        <x:v>499</x:v>
      </x:c>
      <x:c r="P35" t="n">
        <x:v>1</x:v>
      </x:c>
      <x:c r="Q35" s="12" t="n">
        <x:v>0.98</x:v>
      </x:c>
      <x:c r="R35" t="n">
        <x:v>1</x:v>
      </x:c>
      <x:c r="S35" s="11" t="d">
        <x:v>2026-10-21T12:00:00.000Z</x:v>
      </x:c>
      <x:c r="T35" t="str">
        <x:v>https://www.digikey.com/en/products/detail/onsemi/FDC6305N/965281</x:v>
      </x:c>
      <x:c r="U35" t="str">
        <x:v>https://www.onsemi.com/pub/Collateral/FDC6305N-D.PDF</x:v>
      </x:c>
    </x:row>
    <x:row r="36">
      <x:c r="A36" s="2" t="n">
        <x:v>35</x:v>
      </x:c>
      <x:c r="B36" t="str">
        <x:v>Lattice Semiconductor Corporation</x:v>
      </x:c>
      <x:c r="C36" t="str">
        <x:v>LCMXO2-256HC-5SG32C</x:v>
      </x:c>
      <x:c r="D36" t="str">
        <x:v>IC FPGA 21 I/O 32QFNS</x:v>
      </x:c>
      <x:c r="E36" t="str">
        <x:v>220-2640-ND</x:v>
      </x:c>
      <x:c r="F36" s="2" t="n">
        <x:v>1</x:v>
      </x:c>
      <x:c r="G36" t="n">
        <x:f>F36</x:f>
        <x:v>1</x:v>
      </x:c>
      <x:c r="H36" s="1" t="str">
        <x:v>LCMXO2-256HC-5SG32C</x:v>
      </x:c>
      <x:c r="I36" t="str">
        <x:v>QFNS32_OPT2_LAT</x:v>
      </x:c>
      <x:c r="J36" t="str">
        <x:v>DIGIKEY</x:v>
      </x:c>
      <x:c r="K36" t="str">
        <x:v>FITTED</x:v>
      </x:c>
      <x:c r="L36" s="1" t="str">
        <x:v>U6</x:v>
      </x:c>
      <x:c r="M36"/>
      <x:c r="N36"/>
      <x:c r="O36" t="n">
        <x:v>3648</x:v>
      </x:c>
      <x:c r="P36" t="n">
        <x:v>1</x:v>
      </x:c>
      <x:c r="Q36" s="12" t="n">
        <x:v>5.94</x:v>
      </x:c>
      <x:c r="R36" t="n">
        <x:v>1</x:v>
      </x:c>
      <x:c r="S36" s="11" t="d">
        <x:v>2026-10-21T12:00:00.000Z</x:v>
      </x:c>
      <x:c r="T36" t="str">
        <x:v>https://www.digikey.com/en/products/detail/lattice-semiconductor-corporation/LCMXO2-256HC-5SG32C/3232670</x:v>
      </x:c>
      <x:c r="U36" t="str">
        <x:v>https://mm.digikey.com/Volume0/opasdata/d220001/medias/docus/9039/MachXO2-Family-Data-Sheet.pdf</x:v>
      </x:c>
    </x:row>
    <x:row r="37">
      <x:c r="A37" s="2" t="n">
        <x:v>36</x:v>
      </x:c>
      <x:c r="B37" t="str">
        <x:v>STMicroelectronics</x:v>
      </x:c>
      <x:c r="C37" t="str">
        <x:v>USBLC6-2SC6</x:v>
      </x:c>
      <x:c r="D37" t="str">
        <x:v>TVS DIODE 5.25VWM 17VC SOT23-6</x:v>
      </x:c>
      <x:c r="E37" t="str">
        <x:v>497-5235-1-ND</x:v>
      </x:c>
      <x:c r="F37" s="2" t="n">
        <x:v>1</x:v>
      </x:c>
      <x:c r="G37" t="n">
        <x:f>F37</x:f>
        <x:v>1</x:v>
      </x:c>
      <x:c r="H37" s="1" t="str">
        <x:v>USBLC6-2SC6</x:v>
      </x:c>
      <x:c r="I37" t="str">
        <x:v>dbv6</x:v>
      </x:c>
      <x:c r="J37" t="str">
        <x:v>DIGIKEY</x:v>
      </x:c>
      <x:c r="K37" t="str">
        <x:v>FITTED</x:v>
      </x:c>
      <x:c r="L37" s="1" t="str">
        <x:v>U8</x:v>
      </x:c>
      <x:c r="M37"/>
      <x:c r="N37"/>
      <x:c r="O37" t="n">
        <x:v>92771</x:v>
      </x:c>
      <x:c r="P37" t="n">
        <x:v>1</x:v>
      </x:c>
      <x:c r="Q37" s="12" t="n">
        <x:v>0.54</x:v>
      </x:c>
      <x:c r="R37" t="n">
        <x:v>1</x:v>
      </x:c>
      <x:c r="S37" s="11" t="d">
        <x:v>2026-10-21T12:00:00.000Z</x:v>
      </x:c>
      <x:c r="T37" t="str">
        <x:v>https://www.digikey.com/en/products/detail/stmicroelectronics/USBLC6-2SC6/1040559</x:v>
      </x:c>
      <x:c r="U37" t="str">
        <x:v>https://www.st.com/resource/en/datasheet/cd00050750.pdf</x:v>
      </x:c>
    </x:row>
    <x:row r="38">
      <x:c r="A38" s="2" t="n">
        <x:v>37</x:v>
      </x:c>
      <x:c r="B38" t="str">
        <x:v>Texas Instruments</x:v>
      </x:c>
      <x:c r="C38" t="str">
        <x:v>BQ27441DRZT-G1A</x:v>
      </x:c>
      <x:c r="D38" t="str">
        <x:v>IC FUEL GAUGE LI-ION 1CL 12SON</x:v>
      </x:c>
      <x:c r="E38" t="str">
        <x:v>296-37271-1-ND</x:v>
      </x:c>
      <x:c r="F38" s="2" t="n">
        <x:v>1</x:v>
      </x:c>
      <x:c r="G38" t="n">
        <x:f>F38</x:f>
        <x:v>1</x:v>
      </x:c>
      <x:c r="H38" s="1" t="str">
        <x:v>BQ27441DRZT-G1A</x:v>
      </x:c>
      <x:c r="I38" t="str">
        <x:v>DRZ0012A</x:v>
      </x:c>
      <x:c r="J38" t="str">
        <x:v>DIGIKEY</x:v>
      </x:c>
      <x:c r="K38" t="str">
        <x:v>FITTED</x:v>
      </x:c>
      <x:c r="L38" s="1" t="str">
        <x:v>U9</x:v>
      </x:c>
      <x:c r="M38"/>
      <x:c r="N38"/>
      <x:c r="O38" t="n">
        <x:v>810</x:v>
      </x:c>
      <x:c r="P38" t="n">
        <x:v>1</x:v>
      </x:c>
      <x:c r="Q38" s="12" t="n">
        <x:v>3.44</x:v>
      </x:c>
      <x:c r="R38" t="n">
        <x:v>1</x:v>
      </x:c>
      <x:c r="S38" s="11" t="d">
        <x:v>2026-10-21T12:00:00.000Z</x:v>
      </x:c>
      <x:c r="T38" t="str">
        <x:v>https://www.digikey.com/en/products/detail/texas-instruments/BQ27441DRZT-G1A/4733013</x:v>
      </x:c>
      <x:c r="U38" t="str">
        <x:v>https://www.ti.com/general/docs/suppproductinfo.tsp?distId=10&amp;gotoUrl=https%3A%2F%2Fwww.ti.com%2Flit%2Fgpn%2Fbq27441-g1</x:v>
      </x:c>
    </x:row>
    <x:row r="39">
      <x:c r="A39" s="2" t="n">
        <x:v>38</x:v>
      </x:c>
      <x:c r="B39" t="str">
        <x:v>Texas Instruments</x:v>
      </x:c>
      <x:c r="C39" t="str">
        <x:v>TPS82693SIPT</x:v>
      </x:c>
      <x:c r="D39" t="str">
        <x:v>DC DC CONVERTER 2.85V</x:v>
      </x:c>
      <x:c r="E39" t="str">
        <x:v>296-TPS82693SIPTCT-ND</x:v>
      </x:c>
      <x:c r="F39" s="2" t="n">
        <x:v>1</x:v>
      </x:c>
      <x:c r="G39" t="n">
        <x:f>F39</x:f>
        <x:v>1</x:v>
      </x:c>
      <x:c r="H39" t="str">
        <x:v>TPS82693SIP</x:v>
      </x:c>
      <x:c r="I39" t="str">
        <x:v>SIP0008A</x:v>
      </x:c>
      <x:c r="J39" t="str">
        <x:v>DIGIKEY</x:v>
      </x:c>
      <x:c r="K39" t="str">
        <x:v>FITTED</x:v>
      </x:c>
      <x:c r="L39" s="1" t="str">
        <x:v>U11</x:v>
      </x:c>
      <x:c r="M39"/>
      <x:c r="N39"/>
      <x:c r="O39" t="n">
        <x:v>417</x:v>
      </x:c>
      <x:c r="P39" t="n">
        <x:v>1</x:v>
      </x:c>
      <x:c r="Q39" s="12" t="n">
        <x:v>2.86</x:v>
      </x:c>
      <x:c r="R39" t="n">
        <x:v>1</x:v>
      </x:c>
      <x:c r="S39" s="11" t="d">
        <x:v>2026-10-21T12:00:00.000Z</x:v>
      </x:c>
      <x:c r="T39" t="str">
        <x:v>https://www.digikey.com/en/products/detail/texas-instruments/TPS82693SIPT/4091120</x:v>
      </x:c>
      <x:c r="U39" t="str">
        <x:v>https://www.ti.com/general/docs/suppproductinfo.tsp?distId=10&amp;gotoUrl=http%253A%252F%252Fwww.ti.com%252Flit%252Fgpn%252Ftps82693</x:v>
      </x:c>
    </x:row>
    <x:row r="40">
      <x:c r="A40" s="2" t="n">
        <x:v>39</x:v>
      </x:c>
      <x:c r="B40" t="str">
        <x:v>Texas Instruments</x:v>
      </x:c>
      <x:c r="C40" t="str">
        <x:v>BQ25060DQCR</x:v>
      </x:c>
      <x:c r="D40" t="str">
        <x:v>IC BATT CHG LI-ION 1CELL 10WSON</x:v>
      </x:c>
      <x:c r="E40" t="str">
        <x:v>296-27486-1-ND</x:v>
      </x:c>
      <x:c r="F40" s="2" t="n">
        <x:v>1</x:v>
      </x:c>
      <x:c r="G40" t="n">
        <x:f>F40</x:f>
        <x:v>1</x:v>
      </x:c>
      <x:c r="H40" t="str">
        <x:v>BQ25060</x:v>
      </x:c>
      <x:c r="I40" t="str">
        <x:v>DQC10_P84X2P4</x:v>
      </x:c>
      <x:c r="J40" t="str">
        <x:v>DIGIKEY</x:v>
      </x:c>
      <x:c r="K40" t="str">
        <x:v>FITTED</x:v>
      </x:c>
      <x:c r="L40" s="1" t="str">
        <x:v>U12</x:v>
      </x:c>
      <x:c r="M40"/>
      <x:c r="N40" t="str">
        <x:v>Selected BQ25060DQCR: DQC 10-pin WSON matches Capture footprint.</x:v>
      </x:c>
      <x:c r="O40" t="n">
        <x:v>517</x:v>
      </x:c>
      <x:c r="P40" t="n">
        <x:v>1</x:v>
      </x:c>
      <x:c r="Q40" s="12" t="n">
        <x:v>1.95</x:v>
      </x:c>
      <x:c r="R40" t="n">
        <x:v>1</x:v>
      </x:c>
      <x:c r="S40" s="11" t="d">
        <x:v>2026-10-21T12:00:00.000Z</x:v>
      </x:c>
      <x:c r="T40" t="str">
        <x:v>https://www.digikey.com/en/products/detail/texas-instruments/BQ25060DQCR/2297963</x:v>
      </x:c>
      <x:c r="U40" t="str">
        <x:v>https://www.ti.com/general/docs/suppproductinfo.tsp?distId=10&amp;gotoUrl=https%3A%2F%2Fwww.ti.com%2Flit%2Fgpn%2Fbq25060</x:v>
      </x:c>
    </x:row>
    <x:row r="41">
      <x:c r="A41" s="2" t="n">
        <x:v>40</x:v>
      </x:c>
      <x:c r="B41" t="str">
        <x:v>Texas Instruments</x:v>
      </x:c>
      <x:c r="C41" t="str">
        <x:v>REG71050DDCR</x:v>
      </x:c>
      <x:c r="D41" t="str">
        <x:v>IC REG CHARGE PUMP 5V 60MA SOT23</x:v>
      </x:c>
      <x:c r="E41" t="str">
        <x:v>296-47352-1-ND</x:v>
      </x:c>
      <x:c r="F41" s="2" t="n">
        <x:v>1</x:v>
      </x:c>
      <x:c r="G41" t="n">
        <x:f>F41</x:f>
        <x:v>1</x:v>
      </x:c>
      <x:c r="H41" s="1" t="str">
        <x:v>REG71050_DDC_6</x:v>
      </x:c>
      <x:c r="I41" t="str">
        <x:v>DDC6-M</x:v>
      </x:c>
      <x:c r="J41" t="str">
        <x:v>DIGIKEY</x:v>
      </x:c>
      <x:c r="K41" t="str">
        <x:v>FITTED</x:v>
      </x:c>
      <x:c r="L41" s="1" t="str">
        <x:v>U13</x:v>
      </x:c>
      <x:c r="M41"/>
      <x:c r="N41"/>
      <x:c r="O41" t="n">
        <x:v>1540</x:v>
      </x:c>
      <x:c r="P41" t="n">
        <x:v>1</x:v>
      </x:c>
      <x:c r="Q41" s="12" t="n">
        <x:v>1.67</x:v>
      </x:c>
      <x:c r="R41" t="n">
        <x:v>1</x:v>
      </x:c>
      <x:c r="S41" s="11" t="d">
        <x:v>2026-10-21T12:00:00.000Z</x:v>
      </x:c>
      <x:c r="T41" t="str">
        <x:v>https://www.digikey.com/en/products/detail/texas-instruments/REG71050DDCR/1574139</x:v>
      </x:c>
      <x:c r="U41" t="str">
        <x:v>https://www.ti.com/general/docs/suppproductinfo.tsp?distId=10&amp;gotoUrl=https%3A%2F%2Fwww.ti.com%2Flit%2Fgpn%2Freg71050</x:v>
      </x:c>
    </x:row>
    <x:row r="42">
      <x:c r="A42" s="2" t="n">
        <x:v>41</x:v>
      </x:c>
      <x:c r="B42" t="str">
        <x:v>MK</x:v>
      </x:c>
      <x:c r="C42" t="str">
        <x:v>MKDN064GCL-AA</x:v>
      </x:c>
      <x:c r="D42" t="str">
        <x:v>64 Gbit Nano SD NAND, 2.7-3.6 V, LGA-16</x:v>
      </x:c>
      <x:c r="E42" t="str">
        <x:v>C2836409</x:v>
      </x:c>
      <x:c r="F42" s="2" t="n">
        <x:v>1</x:v>
      </x:c>
      <x:c r="G42" t="n">
        <x:f>F42</x:f>
        <x:v>1</x:v>
      </x:c>
      <x:c r="H42" s="1" t="str">
        <x:v>MKDN064GCL-AA</x:v>
      </x:c>
      <x:c r="I42" t="str">
        <x:v>IC_MKDN064GCL-AA</x:v>
      </x:c>
      <x:c r="J42" t="str">
        <x:v>LCSC</x:v>
      </x:c>
      <x:c r="K42" t="str">
        <x:v>FITTED</x:v>
      </x:c>
      <x:c r="L42" s="1" t="str">
        <x:v>U15</x:v>
      </x:c>
      <x:c r="M42"/>
      <x:c r="N42" t="str">
        <x:v>LCSC C2836409. Price and current stock not verified; check at ordering.</x:v>
      </x:c>
      <x:c r="O42"/>
      <x:c r="P42"/>
      <x:c r="Q42" s="12"/>
      <x:c r="R42"/>
      <x:c r="S42" s="11"/>
      <x:c r="T42" t="str">
        <x:v>https://www.lcsc.com/product-detail/C2836409.html</x:v>
      </x:c>
      <x:c r="U42" t="str">
        <x:v>https://datasheet.lcsc.com/lcsc/2307121705_MK-MKDN064GCL-AA_C2836409.pdf</x:v>
      </x:c>
    </x:row>
    <x:row r="43">
      <x:c r="A43" s="2" t="n">
        <x:v>42</x:v>
      </x:c>
      <x:c r="B43" t="str">
        <x:v>Analog Devices Inc.</x:v>
      </x:c>
      <x:c r="C43" t="str">
        <x:v>ADXL343BCCZ-RL7</x:v>
      </x:c>
      <x:c r="D43" t="str">
        <x:v>ACCEL 2-16G I2C/SPI 14LGA</x:v>
      </x:c>
      <x:c r="E43" t="str">
        <x:v>505-ADXL343BCCZ-RL7CT-ND</x:v>
      </x:c>
      <x:c r="F43" s="2" t="n">
        <x:v>1</x:v>
      </x:c>
      <x:c r="G43" t="n">
        <x:f>F43</x:f>
        <x:v>1</x:v>
      </x:c>
      <x:c r="H43" s="1" t="str">
        <x:v>ADXL343BCCZ-RL7</x:v>
      </x:c>
      <x:c r="I43" t="str">
        <x:v>LGA_CC-14-1_ADI-M</x:v>
      </x:c>
      <x:c r="J43" t="str">
        <x:v>DIGIKEY</x:v>
      </x:c>
      <x:c r="K43" t="str">
        <x:v>FITTED</x:v>
      </x:c>
      <x:c r="L43" s="1" t="str">
        <x:v>U16</x:v>
      </x:c>
      <x:c r="M43"/>
      <x:c r="N43"/>
      <x:c r="O43" t="n">
        <x:v>9675</x:v>
      </x:c>
      <x:c r="P43" t="n">
        <x:v>1</x:v>
      </x:c>
      <x:c r="Q43" s="12" t="n">
        <x:v>4.02</x:v>
      </x:c>
      <x:c r="R43" t="n">
        <x:v>1</x:v>
      </x:c>
      <x:c r="S43" s="11" t="d">
        <x:v>2026-10-21T12:00:00.000Z</x:v>
      </x:c>
      <x:c r="T43" t="str">
        <x:v>https://www.digikey.com/en/products/detail/analog-devices-inc/ADXL343BCCZ-RL7/3542894</x:v>
      </x:c>
      <x:c r="U43" t="str">
        <x:v>https://www.analog.com/media/en/technical-documentation/data-sheets/ADXL343.pdf</x:v>
      </x:c>
    </x:row>
    <x:row r="44">
      <x:c r="A44" s="2" t="n">
        <x:v>43</x:v>
      </x:c>
      <x:c r="B44" t="str">
        <x:v>Texas Instruments</x:v>
      </x:c>
      <x:c r="C44" t="str">
        <x:v>SN74LVC1G04DBVR</x:v>
      </x:c>
      <x:c r="D44" t="str">
        <x:v>IC INV 1-CIR 1-IN SOT-23-5</x:v>
      </x:c>
      <x:c r="E44" t="str">
        <x:v>296-11599-1-ND</x:v>
      </x:c>
      <x:c r="F44" s="2" t="n">
        <x:v>2</x:v>
      </x:c>
      <x:c r="G44" t="n">
        <x:f>F44</x:f>
        <x:v>2</x:v>
      </x:c>
      <x:c r="H44" s="1" t="str">
        <x:v>SN74LVC1G04</x:v>
      </x:c>
      <x:c r="I44" t="str">
        <x:v>DBV5</x:v>
      </x:c>
      <x:c r="J44" t="str">
        <x:v>DIGIKEY</x:v>
      </x:c>
      <x:c r="K44" t="str">
        <x:v>FITTED</x:v>
      </x:c>
      <x:c r="L44" s="1" t="str">
        <x:v>U17;U18</x:v>
      </x:c>
      <x:c r="M44"/>
      <x:c r="N44" t="str">
        <x:v>Selected SN74LVC1G04DBVR: DBV SOT-23-5 matches Capture footprint.</x:v>
      </x:c>
      <x:c r="O44" t="n">
        <x:v>336933</x:v>
      </x:c>
      <x:c r="P44" t="n">
        <x:v>1</x:v>
      </x:c>
      <x:c r="Q44" s="12" t="n">
        <x:v>0.15</x:v>
      </x:c>
      <x:c r="R44" t="n">
        <x:v>1</x:v>
      </x:c>
      <x:c r="S44" s="11" t="d">
        <x:v>2026-10-21T12:00:00.000Z</x:v>
      </x:c>
      <x:c r="T44" t="str">
        <x:v>https://www.digikey.com/en/products/detail/texas-instruments/SN74LVC1G04DBVR/385716</x:v>
      </x:c>
      <x:c r="U44" t="str">
        <x:v>https://www.ti.com/lit/ds/symlink/sn74lvc1g04.pdf?ts=1753305682684&amp;ref_url=https%253A%252F%252Fwww.ti.com%252Fproduct%252FSN74LVC1G04</x:v>
      </x:c>
    </x:row>
    <x:row r="45">
      <x:c r="A45" s="2" t="n">
        <x:v>44</x:v>
      </x:c>
      <x:c r="B45" t="str">
        <x:v>ECS Inc.</x:v>
      </x:c>
      <x:c r="C45" t="str">
        <x:v>ECS-.327-9-34B-TR</x:v>
      </x:c>
      <x:c r="D45" t="str">
        <x:v>CRYSTAL 32.7680KHZ 9PF SMD</x:v>
      </x:c>
      <x:c r="E45" t="str">
        <x:v>50-ECS-.327-9-34B-TRCT-ND</x:v>
      </x:c>
      <x:c r="F45" s="2" t="n">
        <x:v>1</x:v>
      </x:c>
      <x:c r="G45" t="n">
        <x:f>F45</x:f>
        <x:v>1</x:v>
      </x:c>
      <x:c r="H45" s="1" t="str">
        <x:v>ECS-.327-9-34B-TR</x:v>
      </x:c>
      <x:c r="I45" t="str">
        <x:v>FC-135</x:v>
      </x:c>
      <x:c r="J45" t="str">
        <x:v>DIGIKEY</x:v>
      </x:c>
      <x:c r="K45" t="str">
        <x:v>FITTED</x:v>
      </x:c>
      <x:c r="L45" s="1" t="str">
        <x:v>Y1</x:v>
      </x:c>
      <x:c r="M45"/>
      <x:c r="N45"/>
      <x:c r="O45" t="n">
        <x:v>211792</x:v>
      </x:c>
      <x:c r="P45" t="n">
        <x:v>1</x:v>
      </x:c>
      <x:c r="Q45" s="12" t="n">
        <x:v>0.45</x:v>
      </x:c>
      <x:c r="R45" t="n">
        <x:v>1</x:v>
      </x:c>
      <x:c r="S45" s="11" t="d">
        <x:v>2026-10-21T12:00:00.000Z</x:v>
      </x:c>
      <x:c r="T45" t="str">
        <x:v>https://www.digikey.com/en/products/detail/ecs-inc/ECS-327-9-34B-TR/3927329</x:v>
      </x:c>
      <x:c r="U45" t="str">
        <x:v>https://ecsxtal.com/store/pdf/ecx-31b.pdf</x:v>
      </x:c>
    </x:row>
    <x:row r="46">
      <x:c r="A46" s="2" t="n">
        <x:v>45</x:v>
      </x:c>
      <x:c r="B46" t="str">
        <x:v>ECS Inc.</x:v>
      </x:c>
      <x:c r="C46" t="str">
        <x:v>ECS-TXO-3225MV-100-TR</x:v>
      </x:c>
      <x:c r="D46" t="str">
        <x:v>XTAL OSC TCXO 10MHZ HCMOS</x:v>
      </x:c>
      <x:c r="E46" t="str">
        <x:v>50-ECS-TXO-3225MV-100-CT-ND</x:v>
      </x:c>
      <x:c r="F46" s="2" t="n">
        <x:v>1</x:v>
      </x:c>
      <x:c r="G46" t="n">
        <x:f>F46</x:f>
        <x:v>1</x:v>
      </x:c>
      <x:c r="H46" s="1" t="str">
        <x:v>ECS-TXO-3225MV-100-TR</x:v>
      </x:c>
      <x:c r="I46" t="str">
        <x:v>OSC_ECS-TXO-3225MV-100-TR</x:v>
      </x:c>
      <x:c r="J46" s="10" t="str">
        <x:v>DIGIKEY</x:v>
      </x:c>
      <x:c r="K46" t="str">
        <x:v>FITTED</x:v>
      </x:c>
      <x:c r="L46" s="1" t="str">
        <x:v>Y2</x:v>
      </x:c>
      <x:c r="M46"/>
      <x:c r="N46"/>
      <x:c r="O46" t="n">
        <x:v>2009</x:v>
      </x:c>
      <x:c r="P46" t="n">
        <x:v>1</x:v>
      </x:c>
      <x:c r="Q46" s="12" t="n">
        <x:v>2.43</x:v>
      </x:c>
      <x:c r="R46" t="n">
        <x:v>1</x:v>
      </x:c>
      <x:c r="S46" s="11" t="d">
        <x:v>2026-10-21T12:00:00.000Z</x:v>
      </x:c>
      <x:c r="T46" t="str">
        <x:v>https://www.digikey.com/en/products/detail/ecs-inc/ECS-TXO-3225MV-100-TR/10478750</x:v>
      </x:c>
      <x:c r="U46" t="str">
        <x:v>https://ecsxtal.com/store/pdf/ECS-TXO-3225MV.pdf</x:v>
      </x:c>
    </x:row>
    <x:row r="47">
      <x:c r="A47" s="2"/>
      <x:c r="B47"/>
      <x:c r="C47"/>
      <x:c r="D47"/>
      <x:c r="E47"/>
      <x:c r="F47" s="2"/>
      <x:c r="G47"/>
      <x:c r="H47"/>
      <x:c r="I47"/>
      <x:c r="J47"/>
      <x:c r="K47"/>
      <x:c r="L47" s="1"/>
      <x:c r="M47"/>
      <x:c r="N47"/>
      <x:c r="O47"/>
      <x:c r="P47"/>
      <x:c r="Q47" s="12"/>
      <x:c r="R47"/>
      <x:c r="S47" s="11"/>
      <x:c r="T47"/>
      <x:c r="U47"/>
    </x:row>
    <x:row r="48">
      <x:c r="A48" s="2"/>
      <x:c r="B48"/>
      <x:c r="C48"/>
      <x:c r="D48"/>
      <x:c r="E48"/>
      <x:c r="F48" s="2"/>
      <x:c r="G48"/>
      <x:c r="H48" s="1"/>
      <x:c r="I48"/>
      <x:c r="J48"/>
      <x:c r="K48"/>
      <x:c r="L48" s="1"/>
      <x:c r="M48"/>
      <x:c r="N48"/>
      <x:c r="O48"/>
      <x:c r="P48"/>
      <x:c r="Q48" s="12"/>
      <x:c r="R48"/>
      <x:c r="S48" s="11"/>
      <x:c r="T48"/>
      <x:c r="U48"/>
    </x:row>
    <x:row r="49">
      <x:c r="A49" s="2"/>
      <x:c r="B49" s="1"/>
      <x:c r="C49" s="1"/>
      <x:c r="D49" s="1"/>
      <x:c r="E49" s="1"/>
      <x:c r="F49" s="2"/>
      <x:c r="G49"/>
      <x:c r="H49" s="1"/>
      <x:c r="I49" s="1"/>
      <x:c r="J49"/>
      <x:c r="K49"/>
      <x:c r="L49" s="1"/>
    </x:row>
    <x:row r="50">
      <x:c r="A50" s="2"/>
      <x:c r="C50"/>
      <x:c r="G50"/>
      <x:c r="H50"/>
      <x:c r="I50"/>
      <x:c r="J50"/>
      <x:c r="K50"/>
    </x:row>
    <x:row r="51">
      <x:c r="A51" s="2"/>
      <x:c r="C51"/>
      <x:c r="G51"/>
      <x:c r="H51"/>
      <x:c r="I51"/>
      <x:c r="J51"/>
      <x:c r="K51"/>
    </x:row>
    <x:row r="52">
      <x:c r="A52" s="2"/>
      <x:c r="I52"/>
      <x:c r="J52"/>
      <x:c r="K52"/>
    </x:row>
    <x:row r="53">
      <x:c r="A53" s="2"/>
      <x:c r="I53"/>
      <x:c r="J53"/>
      <x:c r="K53"/>
    </x:row>
    <x:row r="54">
      <x:c r="A54" s="2"/>
      <x:c r="I54"/>
      <x:c r="J54"/>
      <x:c r="K54"/>
    </x:row>
    <x:row r="55">
      <x:c r="A55" s="2"/>
      <x:c r="I55"/>
      <x:c r="J55"/>
      <x:c r="K55"/>
    </x:row>
    <x:row r="56">
      <x:c r="A56" s="2"/>
      <x:c r="I56"/>
      <x:c r="J56"/>
      <x:c r="K56"/>
    </x:row>
    <x:row r="57">
      <x:c r="A57" s="2"/>
      <x:c r="I57"/>
      <x:c r="J57"/>
      <x:c r="K57"/>
    </x:row>
    <x:row r="58">
      <x:c r="A58" s="2"/>
      <x:c r="I58"/>
      <x:c r="J58"/>
      <x:c r="K58"/>
    </x:row>
    <x:row r="59">
      <x:c r="A59" s="2"/>
      <x:c r="I59"/>
      <x:c r="J59"/>
      <x:c r="K59"/>
    </x:row>
    <x:row r="60">
      <x:c r="A60" s="2"/>
      <x:c r="I60"/>
      <x:c r="J60"/>
      <x:c r="K60"/>
    </x:row>
    <x:row r="61">
      <x:c r="A61" s="2"/>
      <x:c r="I61"/>
      <x:c r="J61"/>
      <x:c r="K61"/>
    </x:row>
    <x:row r="62">
      <x:c r="A62" s="2"/>
      <x:c r="I62"/>
      <x:c r="J62"/>
      <x:c r="K62"/>
    </x:row>
    <x:row r="63">
      <x:c r="A63" s="2"/>
      <x:c r="I63"/>
      <x:c r="J63"/>
      <x:c r="K63"/>
    </x:row>
    <x:row r="64">
      <x:c r="A64" s="2"/>
      <x:c r="I64"/>
      <x:c r="J64"/>
      <x:c r="K64"/>
    </x:row>
    <x:row r="65">
      <x:c r="A65" s="2"/>
      <x:c r="I65"/>
      <x:c r="J65"/>
      <x:c r="K65"/>
    </x:row>
    <x:row r="66">
      <x:c r="A66" s="2"/>
      <x:c r="I66"/>
      <x:c r="J66"/>
      <x:c r="K66"/>
    </x:row>
    <x:row r="67">
      <x:c r="A67" s="2"/>
      <x:c r="I67"/>
      <x:c r="J67"/>
      <x:c r="K67"/>
    </x:row>
    <x:row r="68">
      <x:c r="A68" s="2"/>
      <x:c r="I68"/>
      <x:c r="J68"/>
      <x:c r="K68"/>
    </x:row>
    <x:row r="69">
      <x:c r="C69" s="1"/>
      <x:c r="G69"/>
      <x:c r="H69"/>
      <x:c r="I69"/>
      <x:c r="J69"/>
      <x:c r="K69"/>
    </x:row>
    <x:row r="70">
      <x:c r="C70" s="1"/>
      <x:c r="G70"/>
      <x:c r="H70"/>
      <x:c r="I70"/>
      <x:c r="J70"/>
      <x:c r="K70"/>
    </x:row>
    <x:row r="71">
      <x:c r="C71" s="1"/>
      <x:c r="G71"/>
      <x:c r="H71"/>
      <x:c r="I71"/>
      <x:c r="J71"/>
      <x:c r="K71"/>
    </x:row>
    <x:row r="72">
      <x:c r="C72" s="1"/>
      <x:c r="G72"/>
      <x:c r="H72"/>
      <x:c r="I72"/>
      <x:c r="J72"/>
      <x:c r="K72"/>
    </x:row>
    <x:row r="73">
      <x:c r="C73" s="1"/>
      <x:c r="G73"/>
      <x:c r="H73"/>
      <x:c r="I73"/>
      <x:c r="J73"/>
      <x:c r="K73"/>
    </x:row>
    <x:row r="74">
      <x:c r="C74" s="1"/>
      <x:c r="G74"/>
      <x:c r="H74"/>
      <x:c r="I74"/>
      <x:c r="J74"/>
      <x:c r="K74"/>
    </x:row>
    <x:row r="75">
      <x:c r="C75" s="1"/>
      <x:c r="G75"/>
      <x:c r="H75"/>
      <x:c r="I75"/>
      <x:c r="J75"/>
      <x:c r="K75"/>
    </x:row>
    <x:row r="76">
      <x:c r="C76" s="1"/>
      <x:c r="G76"/>
      <x:c r="H76"/>
      <x:c r="I76"/>
      <x:c r="J76"/>
      <x:c r="K76"/>
    </x:row>
    <x:row r="77">
      <x:c r="C77" s="1"/>
      <x:c r="G77"/>
      <x:c r="H77"/>
      <x:c r="I77"/>
      <x:c r="J77"/>
      <x:c r="K77"/>
    </x:row>
    <x:row r="78">
      <x:c r="C78" s="1"/>
      <x:c r="G78"/>
      <x:c r="H78"/>
      <x:c r="I78"/>
      <x:c r="J78"/>
      <x:c r="K78"/>
    </x:row>
    <x:row r="79">
      <x:c r="C79" s="1"/>
      <x:c r="G79"/>
      <x:c r="H79"/>
      <x:c r="I79"/>
      <x:c r="J79"/>
      <x:c r="K79"/>
    </x:row>
    <x:row r="80">
      <x:c r="C80" s="1"/>
      <x:c r="G80"/>
      <x:c r="H80"/>
      <x:c r="I80"/>
      <x:c r="J80"/>
      <x:c r="K80"/>
    </x:row>
    <x:row r="81">
      <x:c r="C81" s="1"/>
      <x:c r="G81"/>
      <x:c r="H81"/>
      <x:c r="I81"/>
      <x:c r="J81"/>
      <x:c r="K81"/>
    </x:row>
    <x:row r="82">
      <x:c r="C82" s="1"/>
      <x:c r="G82"/>
      <x:c r="H82"/>
      <x:c r="I82"/>
      <x:c r="J82"/>
      <x:c r="K82"/>
    </x:row>
    <x:row r="83">
      <x:c r="C83" s="1"/>
      <x:c r="G83"/>
      <x:c r="H83"/>
      <x:c r="I83"/>
      <x:c r="J83"/>
      <x:c r="K83"/>
    </x:row>
    <x:row r="84">
      <x:c r="C84" s="1"/>
      <x:c r="G84"/>
      <x:c r="H84"/>
      <x:c r="I84"/>
      <x:c r="J84"/>
      <x:c r="K84"/>
    </x:row>
    <x:row r="85">
      <x:c r="C85" s="1"/>
      <x:c r="G85"/>
      <x:c r="H85"/>
      <x:c r="I85"/>
      <x:c r="J85"/>
      <x:c r="K85"/>
    </x:row>
    <x:row r="86">
      <x:c r="C86" s="1"/>
      <x:c r="G86"/>
      <x:c r="H86"/>
      <x:c r="I86"/>
      <x:c r="J86"/>
      <x:c r="K86"/>
    </x:row>
    <x:row r="87">
      <x:c r="C87" s="1"/>
      <x:c r="G87"/>
      <x:c r="H87"/>
      <x:c r="I87"/>
      <x:c r="J87"/>
      <x:c r="K87"/>
    </x:row>
    <x:row r="88">
      <x:c r="C88" s="1"/>
      <x:c r="G88"/>
      <x:c r="H88"/>
      <x:c r="I88"/>
      <x:c r="J88"/>
    </x:row>
    <x:row r="89">
      <x:c r="C89" s="1"/>
      <x:c r="G89"/>
      <x:c r="H89"/>
      <x:c r="I89"/>
      <x:c r="J89"/>
    </x:row>
    <x:row r="90">
      <x:c r="C90" s="1"/>
      <x:c r="G90"/>
      <x:c r="H90"/>
      <x:c r="I90"/>
    </x:row>
    <x:row r="91">
      <x:c r="C91" s="1"/>
      <x:c r="G91"/>
      <x:c r="H91"/>
      <x:c r="I91"/>
    </x:row>
    <x:row r="92">
      <x:c r="C92" s="1"/>
      <x:c r="G92"/>
      <x:c r="H92"/>
      <x:c r="I92"/>
    </x:row>
    <x:row r="93">
      <x:c r="C93" s="1"/>
      <x:c r="G93"/>
      <x:c r="H93"/>
      <x:c r="I93"/>
    </x:row>
    <x:row r="94">
      <x:c r="C94" s="1"/>
      <x:c r="G94"/>
      <x:c r="H94"/>
      <x:c r="I94"/>
    </x:row>
    <x:row r="95">
      <x:c r="C95" s="1"/>
      <x:c r="G95"/>
      <x:c r="H95"/>
      <x:c r="I95"/>
    </x:row>
    <x:row r="96">
      <x:c r="C96" s="1"/>
      <x:c r="G96"/>
      <x:c r="H96"/>
      <x:c r="I96"/>
    </x:row>
    <x:row r="97">
      <x:c r="C97" s="1"/>
      <x:c r="G97"/>
      <x:c r="H97"/>
      <x:c r="I97"/>
    </x:row>
    <x:row r="98">
      <x:c r="C98" s="1"/>
      <x:c r="G98"/>
      <x:c r="H98"/>
      <x:c r="I98"/>
    </x:row>
    <x:row r="99">
      <x:c r="C99" s="1"/>
      <x:c r="G99"/>
      <x:c r="H99"/>
      <x:c r="I99"/>
    </x:row>
    <x:row r="100">
      <x:c r="C100" s="1"/>
      <x:c r="G100"/>
      <x:c r="H100"/>
      <x:c r="I100"/>
    </x:row>
    <x:row r="101">
      <x:c r="C101" s="1"/>
      <x:c r="G101"/>
      <x:c r="H101"/>
      <x:c r="I101"/>
    </x:row>
    <x:row r="102">
      <x:c r="C102" s="1"/>
      <x:c r="G102"/>
      <x:c r="H102"/>
      <x:c r="I102"/>
    </x:row>
    <x:row r="103">
      <x:c r="C103" s="1"/>
      <x:c r="G103"/>
      <x:c r="H103"/>
      <x:c r="I103"/>
    </x:row>
    <x:row r="104">
      <x:c r="C104" s="1"/>
      <x:c r="G104"/>
      <x:c r="H104"/>
      <x:c r="I104"/>
    </x:row>
    <x:row r="105">
      <x:c r="C105" s="1"/>
      <x:c r="G105"/>
      <x:c r="H105"/>
      <x:c r="I105"/>
    </x:row>
    <x:row r="106">
      <x:c r="C106" s="1"/>
      <x:c r="G106"/>
      <x:c r="H106"/>
      <x:c r="I106"/>
    </x:row>
    <x:row r="107">
      <x:c r="C107" s="1"/>
      <x:c r="G107"/>
      <x:c r="H107"/>
      <x:c r="I107"/>
    </x:row>
    <x:row r="108">
      <x:c r="C108" s="1"/>
      <x:c r="G108"/>
      <x:c r="H108"/>
      <x:c r="I108"/>
    </x:row>
    <x:row r="109">
      <x:c r="C109" s="1"/>
      <x:c r="G109"/>
      <x:c r="H109"/>
      <x:c r="I109"/>
    </x:row>
    <x:row r="110">
      <x:c r="C110" s="1"/>
      <x:c r="G110"/>
      <x:c r="H110"/>
      <x:c r="I110"/>
    </x:row>
    <x:row r="111">
      <x:c r="C111" s="1"/>
      <x:c r="G111"/>
      <x:c r="H111"/>
      <x:c r="I111"/>
    </x:row>
    <x:row r="112">
      <x:c r="C112" s="1"/>
      <x:c r="G112"/>
      <x:c r="H112"/>
      <x:c r="I112"/>
    </x:row>
    <x:row r="113">
      <x:c r="C113" s="1"/>
      <x:c r="G113"/>
      <x:c r="H113"/>
      <x:c r="I113"/>
    </x:row>
    <x:row r="114">
      <x:c r="C114" s="1"/>
      <x:c r="G114"/>
      <x:c r="H114"/>
      <x:c r="I114"/>
    </x:row>
    <x:row r="115">
      <x:c r="C115" s="1"/>
      <x:c r="G115"/>
      <x:c r="H115"/>
      <x:c r="I115"/>
    </x:row>
    <x:row r="116">
      <x:c r="C116" s="1"/>
      <x:c r="G116"/>
      <x:c r="H116"/>
      <x:c r="I116"/>
    </x:row>
    <x:row r="117">
      <x:c r="C117" s="1"/>
      <x:c r="G117"/>
      <x:c r="H117"/>
      <x:c r="I117"/>
    </x:row>
    <x:row r="118">
      <x:c r="C118" s="1"/>
      <x:c r="G118"/>
      <x:c r="H118"/>
      <x:c r="I118"/>
    </x:row>
    <x:row r="119">
      <x:c r="C119" s="1"/>
      <x:c r="G119"/>
      <x:c r="H119"/>
      <x:c r="I119"/>
    </x:row>
    <x:row r="120">
      <x:c r="C120" s="1"/>
      <x:c r="G120"/>
      <x:c r="H120"/>
      <x:c r="I120"/>
    </x:row>
    <x:row r="121">
      <x:c r="C121" s="1"/>
      <x:c r="G121"/>
      <x:c r="H121"/>
      <x:c r="I121"/>
    </x:row>
    <x:row r="122">
      <x:c r="C122" s="1"/>
      <x:c r="G122"/>
      <x:c r="H122"/>
      <x:c r="I122"/>
    </x:row>
    <x:row r="123">
      <x:c r="C123" s="1"/>
      <x:c r="G123"/>
      <x:c r="H123"/>
      <x:c r="I123"/>
    </x:row>
    <x:row r="124">
      <x:c r="C124" s="1"/>
      <x:c r="G124"/>
      <x:c r="H124"/>
      <x:c r="I124"/>
    </x:row>
    <x:row r="125">
      <x:c r="C125" s="1"/>
      <x:c r="G125"/>
      <x:c r="H125"/>
      <x:c r="I125"/>
    </x:row>
    <x:row r="126">
      <x:c r="C126" s="1"/>
      <x:c r="G126"/>
      <x:c r="H126"/>
      <x:c r="I126"/>
    </x:row>
    <x:row r="127">
      <x:c r="C127" s="1"/>
      <x:c r="G127"/>
      <x:c r="H127"/>
      <x:c r="I127"/>
    </x:row>
    <x:row r="128">
      <x:c r="C128" s="1"/>
      <x:c r="G128"/>
      <x:c r="H128"/>
      <x:c r="I128"/>
    </x:row>
    <x:row r="129">
      <x:c r="C129" s="1"/>
      <x:c r="G129"/>
      <x:c r="H129"/>
      <x:c r="I129"/>
    </x:row>
    <x:row r="130">
      <x:c r="C130" s="1"/>
      <x:c r="G130"/>
      <x:c r="H130"/>
      <x:c r="I130"/>
    </x:row>
    <x:row r="131">
      <x:c r="C131" s="1"/>
      <x:c r="G131"/>
      <x:c r="H131"/>
      <x:c r="I131"/>
    </x:row>
    <x:row r="132">
      <x:c r="C132" s="1"/>
      <x:c r="G132"/>
      <x:c r="H132"/>
      <x:c r="I132"/>
    </x:row>
    <x:row r="133">
      <x:c r="C133" s="1"/>
      <x:c r="G133"/>
      <x:c r="H133"/>
      <x:c r="I133"/>
    </x:row>
    <x:row r="134">
      <x:c r="C134" s="1"/>
      <x:c r="G134"/>
      <x:c r="H134"/>
      <x:c r="I134"/>
    </x:row>
    <x:row r="135">
      <x:c r="C135" s="1"/>
      <x:c r="G135"/>
      <x:c r="H135"/>
      <x:c r="I135"/>
    </x:row>
    <x:row r="136">
      <x:c r="C136" s="1"/>
      <x:c r="G136"/>
      <x:c r="H136"/>
      <x:c r="I136"/>
    </x:row>
    <x:row r="137">
      <x:c r="C137" s="1"/>
      <x:c r="G137"/>
      <x:c r="H137"/>
      <x:c r="I137"/>
    </x:row>
    <x:row r="138">
      <x:c r="C138" s="1"/>
      <x:c r="G138"/>
      <x:c r="H138"/>
      <x:c r="I138"/>
    </x:row>
    <x:row r="139">
      <x:c r="C139" s="1"/>
      <x:c r="G139"/>
      <x:c r="H139"/>
      <x:c r="I139"/>
    </x:row>
    <x:row r="140">
      <x:c r="C140" s="1"/>
      <x:c r="G140"/>
      <x:c r="H140"/>
      <x:c r="I140"/>
    </x:row>
    <x:row r="141">
      <x:c r="C141" s="1"/>
      <x:c r="G141"/>
      <x:c r="H141"/>
      <x:c r="I141"/>
    </x:row>
    <x:row r="142">
      <x:c r="C142" s="1"/>
      <x:c r="G142"/>
      <x:c r="H142"/>
      <x:c r="I142"/>
    </x:row>
    <x:row r="143">
      <x:c r="C143" s="1"/>
      <x:c r="G143"/>
      <x:c r="H143"/>
      <x:c r="I143"/>
    </x:row>
    <x:row r="144">
      <x:c r="C144" s="1"/>
      <x:c r="G144"/>
      <x:c r="H144"/>
      <x:c r="I144"/>
    </x:row>
    <x:row r="145">
      <x:c r="C145" s="1"/>
      <x:c r="G145"/>
      <x:c r="H145"/>
      <x:c r="I145"/>
    </x:row>
    <x:row r="146">
      <x:c r="C146" s="1"/>
      <x:c r="G146"/>
      <x:c r="H146"/>
      <x:c r="I146"/>
    </x:row>
    <x:row r="147">
      <x:c r="C147" s="1"/>
      <x:c r="G147"/>
      <x:c r="H147"/>
      <x:c r="I147"/>
    </x:row>
    <x:row r="148">
      <x:c r="C148" s="1"/>
      <x:c r="G148"/>
      <x:c r="H148"/>
      <x:c r="I148"/>
    </x:row>
    <x:row r="149">
      <x:c r="C149" s="1"/>
      <x:c r="G149"/>
      <x:c r="H149"/>
      <x:c r="I149"/>
    </x:row>
    <x:row r="150">
      <x:c r="C150" s="1"/>
      <x:c r="G150"/>
      <x:c r="H150"/>
      <x:c r="I150"/>
    </x:row>
    <x:row r="151">
      <x:c r="C151" s="1"/>
      <x:c r="G151"/>
      <x:c r="H151"/>
      <x:c r="I151"/>
    </x:row>
    <x:row r="152">
      <x:c r="C152" s="1"/>
      <x:c r="G152"/>
      <x:c r="H152"/>
      <x:c r="I152"/>
    </x:row>
    <x:row r="153">
      <x:c r="C153" s="1"/>
      <x:c r="G153"/>
      <x:c r="H153"/>
      <x:c r="I153"/>
    </x:row>
    <x:row r="154">
      <x:c r="C154" s="1"/>
      <x:c r="G154"/>
      <x:c r="H154"/>
      <x:c r="I154"/>
    </x:row>
    <x:row r="155">
      <x:c r="C155" s="1"/>
      <x:c r="G155"/>
      <x:c r="H155"/>
      <x:c r="I155"/>
    </x:row>
    <x:row r="156">
      <x:c r="C156" s="1"/>
      <x:c r="G156"/>
      <x:c r="H156"/>
      <x:c r="I156"/>
    </x:row>
    <x:row r="157">
      <x:c r="C157" s="1"/>
      <x:c r="G157"/>
      <x:c r="H157"/>
      <x:c r="I157"/>
    </x:row>
    <x:row r="158">
      <x:c r="C158" s="1"/>
      <x:c r="G158"/>
      <x:c r="H158"/>
      <x:c r="I158"/>
    </x:row>
    <x:row r="159">
      <x:c r="C159" s="1"/>
      <x:c r="G159"/>
      <x:c r="H159"/>
      <x:c r="I159"/>
    </x:row>
    <x:row r="160">
      <x:c r="C160" s="1"/>
      <x:c r="G160"/>
      <x:c r="H160"/>
      <x:c r="I160"/>
    </x:row>
    <x:row r="161">
      <x:c r="C161" s="1"/>
      <x:c r="G161"/>
      <x:c r="H161"/>
      <x:c r="I161"/>
    </x:row>
    <x:row r="162">
      <x:c r="C162" s="1"/>
      <x:c r="G162"/>
      <x:c r="H162"/>
      <x:c r="I162"/>
    </x:row>
    <x:row r="163">
      <x:c r="C163" s="1"/>
      <x:c r="G163"/>
      <x:c r="H163"/>
      <x:c r="I163"/>
    </x:row>
    <x:row r="164">
      <x:c r="C164" s="1"/>
      <x:c r="G164"/>
      <x:c r="H164"/>
      <x:c r="I164"/>
    </x:row>
    <x:row r="165">
      <x:c r="C165" s="1"/>
      <x:c r="G165"/>
      <x:c r="H165"/>
      <x:c r="I165"/>
    </x:row>
    <x:row r="166">
      <x:c r="C166" s="1"/>
      <x:c r="G166"/>
      <x:c r="H166"/>
      <x:c r="I166"/>
    </x:row>
    <x:row r="167">
      <x:c r="C167" s="1"/>
      <x:c r="G167"/>
      <x:c r="H167"/>
      <x:c r="I167"/>
    </x:row>
    <x:row r="168">
      <x:c r="C168" s="1"/>
      <x:c r="G168"/>
      <x:c r="H168"/>
      <x:c r="I168"/>
    </x:row>
    <x:row r="169">
      <x:c r="C169" s="1"/>
      <x:c r="G169"/>
      <x:c r="H169"/>
      <x:c r="I169"/>
    </x:row>
    <x:row r="170">
      <x:c r="C170" s="1"/>
      <x:c r="G170"/>
      <x:c r="H170"/>
      <x:c r="I170"/>
    </x:row>
    <x:row r="171">
      <x:c r="C171" s="1"/>
      <x:c r="G171"/>
      <x:c r="H171"/>
      <x:c r="I171"/>
    </x:row>
    <x:row r="172">
      <x:c r="C172" s="1"/>
      <x:c r="G172"/>
      <x:c r="H172"/>
      <x:c r="I172"/>
    </x:row>
    <x:row r="173">
      <x:c r="C173" s="1"/>
      <x:c r="G173"/>
      <x:c r="H173"/>
      <x:c r="I173"/>
    </x:row>
    <x:row r="174">
      <x:c r="C174" s="1"/>
      <x:c r="G174"/>
      <x:c r="H174"/>
      <x:c r="I174"/>
    </x:row>
    <x:row r="175">
      <x:c r="C175" s="1"/>
      <x:c r="G175"/>
      <x:c r="H175"/>
      <x:c r="I175"/>
    </x:row>
    <x:row r="176">
      <x:c r="C176" s="1"/>
      <x:c r="G176"/>
      <x:c r="H176"/>
      <x:c r="I176"/>
    </x:row>
    <x:row r="177">
      <x:c r="C177" s="1"/>
      <x:c r="G177"/>
      <x:c r="H177"/>
      <x:c r="I177"/>
    </x:row>
    <x:row r="178">
      <x:c r="C178" s="1"/>
      <x:c r="G178"/>
      <x:c r="H178"/>
      <x:c r="I178"/>
    </x:row>
    <x:row r="179">
      <x:c r="C179" s="1"/>
      <x:c r="G179"/>
      <x:c r="H179"/>
      <x:c r="I179"/>
    </x:row>
    <x:row r="180">
      <x:c r="C180" s="1"/>
      <x:c r="G180"/>
      <x:c r="H180"/>
      <x:c r="I180"/>
    </x:row>
    <x:row r="181">
      <x:c r="C181" s="1"/>
      <x:c r="G181"/>
      <x:c r="H181"/>
      <x:c r="I181"/>
    </x:row>
    <x:row r="182">
      <x:c r="C182" s="1"/>
      <x:c r="G182"/>
      <x:c r="H182"/>
      <x:c r="I182"/>
    </x:row>
    <x:row r="183">
      <x:c r="C183" s="1"/>
      <x:c r="G183"/>
      <x:c r="H183"/>
      <x:c r="I183"/>
    </x:row>
    <x:row r="184">
      <x:c r="C184" s="1"/>
      <x:c r="G184"/>
      <x:c r="H184"/>
      <x:c r="I184"/>
    </x:row>
    <x:row r="185">
      <x:c r="C185" s="1"/>
      <x:c r="G185"/>
      <x:c r="H185"/>
      <x:c r="I185"/>
    </x:row>
    <x:row r="186">
      <x:c r="C186" s="1"/>
      <x:c r="G186"/>
      <x:c r="H186"/>
      <x:c r="I186"/>
    </x:row>
    <x:row r="187">
      <x:c r="C187" s="1"/>
      <x:c r="G187"/>
      <x:c r="H187"/>
      <x:c r="I187"/>
    </x:row>
    <x:row r="188">
      <x:c r="C188" s="1"/>
      <x:c r="G188"/>
      <x:c r="H188"/>
      <x:c r="I188"/>
    </x:row>
    <x:row r="189">
      <x:c r="C189" s="1"/>
      <x:c r="G189"/>
      <x:c r="H189"/>
      <x:c r="I189"/>
    </x:row>
    <x:row r="190">
      <x:c r="C190" s="1"/>
      <x:c r="G190"/>
      <x:c r="H190"/>
      <x:c r="I190"/>
    </x:row>
    <x:row r="191">
      <x:c r="C191" s="1"/>
      <x:c r="G191"/>
      <x:c r="H191"/>
      <x:c r="I191"/>
    </x:row>
    <x:row r="192">
      <x:c r="C192" s="1"/>
      <x:c r="G192"/>
      <x:c r="H192"/>
      <x:c r="I192"/>
    </x:row>
    <x:row r="193">
      <x:c r="C193" s="1"/>
      <x:c r="G193"/>
      <x:c r="H193"/>
      <x:c r="I193"/>
    </x:row>
    <x:row r="194">
      <x:c r="C194" s="1"/>
      <x:c r="G194"/>
      <x:c r="H194"/>
      <x:c r="I194"/>
    </x:row>
    <x:row r="195">
      <x:c r="C195" s="1"/>
      <x:c r="G195"/>
      <x:c r="H195"/>
      <x:c r="I195"/>
    </x:row>
    <x:row r="196">
      <x:c r="C196" s="1"/>
      <x:c r="G196"/>
      <x:c r="H196"/>
      <x:c r="I196"/>
    </x:row>
    <x:row r="197">
      <x:c r="C197" s="1"/>
      <x:c r="G197"/>
      <x:c r="H197"/>
      <x:c r="I197"/>
    </x:row>
    <x:row r="198">
      <x:c r="C198" s="1"/>
      <x:c r="G198"/>
      <x:c r="H198"/>
      <x:c r="I198"/>
    </x:row>
    <x:row r="199">
      <x:c r="C199" s="1"/>
      <x:c r="G199"/>
      <x:c r="H199"/>
      <x:c r="I199"/>
    </x:row>
    <x:row r="200">
      <x:c r="C200" s="1"/>
      <x:c r="G200"/>
      <x:c r="H200"/>
      <x:c r="I200"/>
    </x:row>
    <x:row r="201">
      <x:c r="C201" s="1"/>
      <x:c r="G201"/>
      <x:c r="H201"/>
      <x:c r="I201"/>
    </x:row>
    <x:row r="202">
      <x:c r="C202" s="1"/>
      <x:c r="G202"/>
      <x:c r="H202"/>
      <x:c r="I202"/>
    </x:row>
    <x:row r="203">
      <x:c r="C203" s="1"/>
      <x:c r="G203"/>
      <x:c r="H203"/>
      <x:c r="I203"/>
    </x:row>
    <x:row r="204">
      <x:c r="C204" s="1"/>
      <x:c r="G204"/>
      <x:c r="H204"/>
      <x:c r="I204"/>
    </x:row>
    <x:row r="205">
      <x:c r="C205" s="1"/>
      <x:c r="G205"/>
      <x:c r="H205"/>
      <x:c r="I205"/>
    </x:row>
    <x:row r="206">
      <x:c r="C206" s="1"/>
      <x:c r="G206"/>
      <x:c r="H206"/>
      <x:c r="I206"/>
    </x:row>
    <x:row r="207">
      <x:c r="C207" s="1"/>
      <x:c r="G207"/>
      <x:c r="H207"/>
      <x:c r="I207"/>
    </x:row>
    <x:row r="208">
      <x:c r="C208" s="1"/>
      <x:c r="G208"/>
      <x:c r="H208"/>
      <x:c r="I208"/>
    </x:row>
    <x:row r="209">
      <x:c r="C209" s="1"/>
      <x:c r="G209"/>
      <x:c r="H209"/>
      <x:c r="I209"/>
    </x:row>
    <x:row r="210">
      <x:c r="C210" s="1"/>
      <x:c r="G210"/>
      <x:c r="H210"/>
      <x:c r="I210"/>
    </x:row>
    <x:row r="211">
      <x:c r="C211" s="1"/>
      <x:c r="G211"/>
      <x:c r="H211"/>
      <x:c r="I211"/>
    </x:row>
    <x:row r="212">
      <x:c r="C212" s="1"/>
      <x:c r="G212"/>
      <x:c r="H212"/>
      <x:c r="I212"/>
    </x:row>
    <x:row r="213">
      <x:c r="C213" s="1"/>
      <x:c r="G213"/>
      <x:c r="H213"/>
      <x:c r="I213"/>
    </x:row>
    <x:row r="214">
      <x:c r="C214" s="1"/>
      <x:c r="G214"/>
      <x:c r="H214"/>
      <x:c r="I214"/>
    </x:row>
    <x:row r="215">
      <x:c r="C215" s="1"/>
      <x:c r="G215"/>
      <x:c r="H215"/>
      <x:c r="I215"/>
    </x:row>
    <x:row r="216">
      <x:c r="C216" s="1"/>
      <x:c r="G216"/>
      <x:c r="H216"/>
      <x:c r="I216"/>
    </x:row>
    <x:row r="217">
      <x:c r="C217" s="1"/>
      <x:c r="G217"/>
      <x:c r="H217"/>
      <x:c r="I217"/>
    </x:row>
    <x:row r="218">
      <x:c r="C218" s="1"/>
      <x:c r="G218"/>
      <x:c r="H218"/>
      <x:c r="I218"/>
    </x:row>
    <x:row r="219">
      <x:c r="C219" s="1"/>
      <x:c r="G219"/>
      <x:c r="H219"/>
      <x:c r="I219"/>
    </x:row>
    <x:row r="220">
      <x:c r="C220" s="1"/>
      <x:c r="G220"/>
      <x:c r="H220"/>
      <x:c r="I220"/>
    </x:row>
    <x:row r="221">
      <x:c r="C221" s="1"/>
      <x:c r="G221"/>
      <x:c r="H221"/>
      <x:c r="I221"/>
    </x:row>
    <x:row r="222">
      <x:c r="C222" s="1"/>
      <x:c r="G222"/>
      <x:c r="H222"/>
    </x:row>
    <x:row r="223">
      <x:c r="C223" s="1"/>
      <x:c r="G223"/>
      <x:c r="H223"/>
    </x:row>
    <x:row r="224">
      <x:c r="C224" s="1"/>
      <x:c r="G224"/>
      <x:c r="H224"/>
    </x:row>
    <x:row r="225">
      <x:c r="C225" s="1"/>
      <x:c r="G225"/>
      <x:c r="H225"/>
    </x:row>
    <x:row r="226">
      <x:c r="C226" s="1"/>
      <x:c r="G226"/>
      <x:c r="H226"/>
    </x:row>
    <x:row r="227">
      <x:c r="C227" s="1"/>
      <x:c r="G227"/>
      <x:c r="H227"/>
    </x:row>
    <x:row r="228">
      <x:c r="C228" s="1"/>
      <x:c r="G228"/>
      <x:c r="H228"/>
    </x:row>
    <x:row r="229">
      <x:c r="C229" s="1"/>
      <x:c r="G229"/>
      <x:c r="H229"/>
    </x:row>
    <x:row r="230">
      <x:c r="C230" s="1"/>
      <x:c r="G230"/>
      <x:c r="H230"/>
    </x:row>
    <x:row r="231">
      <x:c r="C231" s="1"/>
      <x:c r="G231"/>
      <x:c r="H231"/>
    </x:row>
    <x:row r="232">
      <x:c r="C232" s="1"/>
      <x:c r="G232"/>
      <x:c r="H232"/>
    </x:row>
    <x:row r="233">
      <x:c r="C233" s="1"/>
      <x:c r="G233"/>
      <x:c r="H233"/>
    </x:row>
    <x:row r="234">
      <x:c r="C234" s="1"/>
      <x:c r="G234"/>
      <x:c r="H234"/>
    </x:row>
    <x:row r="235">
      <x:c r="C235" s="1"/>
      <x:c r="G235"/>
      <x:c r="H235"/>
    </x:row>
    <x:row r="236">
      <x:c r="C236" s="1"/>
      <x:c r="G236"/>
      <x:c r="H236"/>
    </x:row>
    <x:row r="237">
      <x:c r="C237" s="1"/>
      <x:c r="G237"/>
      <x:c r="H237"/>
    </x:row>
    <x:row r="238">
      <x:c r="C238" s="1"/>
      <x:c r="G238"/>
      <x:c r="H238"/>
    </x:row>
    <x:row r="239">
      <x:c r="C239" s="1"/>
      <x:c r="G239"/>
      <x:c r="H239"/>
    </x:row>
    <x:row r="240">
      <x:c r="C240" s="1"/>
      <x:c r="G240"/>
      <x:c r="H240"/>
    </x:row>
    <x:row r="241">
      <x:c r="C241" s="1"/>
      <x:c r="G241"/>
      <x:c r="H241"/>
    </x:row>
    <x:row r="242">
      <x:c r="C242" s="1"/>
      <x:c r="G242"/>
      <x:c r="H242"/>
    </x:row>
    <x:row r="243">
      <x:c r="C243" s="1"/>
      <x:c r="G243"/>
      <x:c r="H243"/>
    </x:row>
    <x:row r="244">
      <x:c r="C244" s="1"/>
      <x:c r="G244"/>
      <x:c r="H244"/>
    </x:row>
    <x:row r="245">
      <x:c r="C245" s="1"/>
    </x:row>
    <x:row r="246">
      <x:c r="C246" s="1"/>
    </x:row>
    <x:row r="247">
      <x:c r="C247" s="1"/>
    </x:row>
    <x:row r="248">
      <x:c r="C248" s="1"/>
    </x:row>
    <x:row r="249">
      <x:c r="C249" s="1"/>
    </x:row>
    <x:row r="250">
      <x:c r="C250" s="1"/>
    </x:row>
    <x:row r="251">
      <x:c r="C251" s="1"/>
    </x:row>
    <x:row r="252">
      <x:c r="C252" s="1"/>
    </x:row>
    <x:row r="253">
      <x:c r="C253" s="1"/>
    </x:row>
    <x:row r="254">
      <x:c r="C254" s="1"/>
    </x:row>
    <x:row r="255">
      <x:c r="C255" s="1"/>
    </x:row>
    <x:row r="256">
      <x:c r="C256" s="1"/>
    </x:row>
    <x:row r="257">
      <x:c r="C257" s="1"/>
    </x:row>
    <x:row r="258">
      <x:c r="C258" s="1"/>
    </x:row>
    <x:row r="259">
      <x:c r="C259" s="1"/>
    </x:row>
    <x:row r="260">
      <x:c r="C260" s="1"/>
    </x:row>
    <x:row r="261">
      <x:c r="C261" s="1"/>
    </x:row>
    <x:row r="262">
      <x:c r="C262" s="1"/>
    </x:row>
    <x:row r="263">
      <x:c r="C26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4" max="4" width="40.28515625" hidden="0" customWidth="1"/>
    <x:col min="1" max="1" width="8.430000305175781" hidden="0" customWidth="1"/>
    <x:col min="2" max="2" width="36.28515625" hidden="0" customWidth="1"/>
    <x:col min="3" max="3" width="31.5703125" hidden="0" customWidth="1"/>
    <x:col min="5" max="5" width="36.7109375" hidden="0" customWidth="1"/>
    <x:col min="6" max="6" width="7.7109375" hidden="0" customWidth="1"/>
    <x:col min="7" max="7" width="13.7109375" hidden="0" customWidth="1"/>
    <x:col min="8" max="8" width="7.7109375" hidden="0" customWidth="1"/>
    <x:col min="9" max="9" width="13.7109375" hidden="0" customWidth="1"/>
    <x:col min="10" max="10" width="13.7109375" hidden="0" customWidth="1"/>
    <x:col min="11" max="11" width="40.28515625" hidden="0" customWidth="1"/>
    <x:col min="12" max="12" width="36.7109375" hidden="0" customWidth="1"/>
    <x:col min="13" max="13" width="36.7109375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</x:row>
    <x:row r="2">
      <x:c r="A2" t="str">
        <x:v>BRIDGE accessories and ordering notes</x:v>
      </x:c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 t="str">
        <x:v>One-board BOM. MAIN quantities retain all 105 Capture references; ORDER QTY excludes DNP and bare connections.</x:v>
      </x:c>
      <x:c r="B3"/>
      <x:c r="C3"/>
      <x:c r="D3"/>
      <x:c r="E3"/>
      <x:c r="F3"/>
      <x:c r="G3"/>
      <x:c r="H3"/>
      <x:c r="I3"/>
      <x:c r="J3"/>
      <x:c r="K3"/>
      <x:c r="L3"/>
      <x:c r="M3"/>
    </x:row>
    <x:row r="4">
      <x:c r="A4" t="str">
        <x:v>ORDER QTY starts at the exact one-board quantity. Scale and add passive spares when ordering.</x:v>
      </x:c>
      <x:c r="B4"/>
      <x:c r="C4"/>
      <x:c r="D4"/>
      <x:c r="E4"/>
      <x:c r="F4"/>
      <x:c r="G4"/>
      <x:c r="H4"/>
      <x:c r="I4"/>
      <x:c r="J4"/>
      <x:c r="K4"/>
      <x:c r="L4"/>
      <x:c r="M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>
      <x:c r="A6" t="str">
        <x:v>ITEM</x:v>
      </x:c>
      <x:c r="B6" t="str">
        <x:v>MANUFACTURER</x:v>
      </x:c>
      <x:c r="C6" t="str">
        <x:v>MANUFACTURER PN</x:v>
      </x:c>
      <x:c r="D6" t="str">
        <x:v>DESCRIPTION</x:v>
      </x:c>
      <x:c r="E6" t="str">
        <x:v>DIGIKEY PN</x:v>
      </x:c>
      <x:c r="F6" t="str">
        <x:v>QTY</x:v>
      </x:c>
      <x:c r="G6" t="str">
        <x:v>STOCK</x:v>
      </x:c>
      <x:c r="H6" t="str">
        <x:v>MOQ</x:v>
      </x:c>
      <x:c r="I6" t="str">
        <x:v>UNIT USD</x:v>
      </x:c>
      <x:c r="J6" t="str">
        <x:v>PRICE TIER QTY</x:v>
      </x:c>
      <x:c r="K6" t="str">
        <x:v>NOTES</x:v>
      </x:c>
      <x:c r="L6" t="str">
        <x:v>PRODUCT SOURCE</x:v>
      </x:c>
      <x:c r="M6" t="str">
        <x:v>DATASHEET</x:v>
      </x:c>
    </x:row>
    <x:row r="7">
      <x:c r="A7" t="n">
        <x:v>1</x:v>
      </x:c>
      <x:c r="B7" t="str">
        <x:v>E-Switch</x:v>
      </x:c>
      <x:c r="C7" t="str">
        <x:v>6JBLK</x:v>
      </x:c>
      <x:c r="D7" t="str">
        <x:v>CAP PUSHBUTTON SQUARE BLACK</x:v>
      </x:c>
      <x:c r="E7" t="str">
        <x:v>EG1885-ND</x:v>
      </x:c>
      <x:c r="F7" t="n">
        <x:v>2</x:v>
      </x:c>
      <x:c r="G7" t="n">
        <x:v>14083</x:v>
      </x:c>
      <x:c r="H7" t="n">
        <x:v>1</x:v>
      </x:c>
      <x:c r="I7" s="13" t="n">
        <x:v>0.17</x:v>
      </x:c>
      <x:c r="J7" t="n">
        <x:v>1</x:v>
      </x:c>
      <x:c r="K7" t="str">
        <x:v>Two black 8 x 8 mm 6J caps for SW1/SW2; TL1100-compatible.</x:v>
      </x:c>
      <x:c r="L7" t="str">
        <x:v>https://www.digikey.com/en/products/detail/e-switch/6JBLK/271582</x:v>
      </x:c>
      <x:c r="M7" t="str">
        <x:v>https://configured-product-images.s3.amazonaws.com/Datasheets/CAPS.pdf</x:v>
      </x:c>
    </x:row>
    <x:row r="8">
      <x:c r="A8" t="n">
        <x:v>2</x:v>
      </x:c>
      <x:c r="B8" t="str">
        <x:v>Tag-Connect LLC</x:v>
      </x:c>
      <x:c r="C8" t="str">
        <x:v>TC2030-CTX</x:v>
      </x:c>
      <x:c r="D8" t="str">
        <x:v>PLUG-OF-NAILS 6-PIN W/ LEGS</x:v>
      </x:c>
      <x:c r="E8" t="str">
        <x:v>TC2030-CTX-ND</x:v>
      </x:c>
      <x:c r="F8" t="n">
        <x:v>1</x:v>
      </x:c>
      <x:c r="G8" t="n">
        <x:v>800</x:v>
      </x:c>
      <x:c r="H8" t="n">
        <x:v>1</x:v>
      </x:c>
      <x:c r="I8" s="13" t="n">
        <x:v>56.05</x:v>
      </x:c>
      <x:c r="J8" t="n">
        <x:v>1</x:v>
      </x:c>
      <x:c r="K8" t="str">
        <x:v>User-selected cable for Nordic DK. Cortex 10-pin to TC2030; PCB includes retention holes.</x:v>
      </x:c>
      <x:c r="L8" t="str">
        <x:v>https://www.digikey.com/en/products/detail/tag-connect-llc/TC2030-CTX/5023324</x:v>
      </x:c>
      <x:c r="M8" t="str">
        <x:v>https://www.tag-connect.com/wp-content/uploads/bsk-pdf-manager/TC2030-CTX_1.pdf</x:v>
      </x:c>
    </x:row>
    <x:row r="9">
      <x:c r="A9" t="n">
        <x:v>3</x:v>
      </x:c>
      <x:c r="B9" t="str">
        <x:v>Chip Quik Inc.</x:v>
      </x:c>
      <x:c r="C9" t="str">
        <x:v>SMD291AXT4</x:v>
      </x:c>
      <x:c r="D9" t="str">
        <x:v>SOLDER PASTE NO CLEAN 63SN/37PB</x:v>
      </x:c>
      <x:c r="E9" t="str">
        <x:v>SMD291AXT4-ND</x:v>
      </x:c>
      <x:c r="F9" t="n">
        <x:v>1</x:v>
      </x:c>
      <x:c r="G9" t="n">
        <x:v>55</x:v>
      </x:c>
      <x:c r="H9" t="n">
        <x:v>1</x:v>
      </x:c>
      <x:c r="I9" s="13" t="n">
        <x:v>17.99</x:v>
      </x:c>
      <x:c r="J9" t="n">
        <x:v>1</x:v>
      </x:c>
      <x:c r="K9" t="str">
        <x:v>15 g Sn63/Pb37 Type 4 no-clean paste. Replaces TS391AX. Store refrigerated at 3-8 C. Lookup: 2026-10-21.</x:v>
      </x:c>
      <x:c r="L9" t="str">
        <x:v>https://www.digikey.com/en/products/detail/chip-quik-inc/SMD291AXT4/8543521</x:v>
      </x:c>
      <x:c r="M9" t="str">
        <x:v>https://www.chipquik.com/datasheets/SMD291AXT4.pdf</x:v>
      </x:c>
    </x:row>
    <x:row r="10">
      <x:c r="A10" t="n">
        <x:v>4</x:v>
      </x:c>
      <x:c r="B10" t="str">
        <x:v>Adafruit Industries LLC</x:v>
      </x:c>
      <x:c r="C10" t="str">
        <x:v>4472</x:v>
      </x:c>
      <x:c r="D10" t="str">
        <x:v>CABLE A PLUG TO C PLUG 0.5'</x:v>
      </x:c>
      <x:c r="E10" t="str">
        <x:v>1528-4472-ND</x:v>
      </x:c>
      <x:c r="F10" t="n">
        <x:v>1</x:v>
      </x:c>
      <x:c r="G10" t="n">
        <x:v>304</x:v>
      </x:c>
      <x:c r="H10" t="n">
        <x:v>1</x:v>
      </x:c>
      <x:c r="I10" s="13" t="n">
        <x:v>2.95</x:v>
      </x:c>
      <x:c r="J10" t="n">
        <x:v>1</x:v>
      </x:c>
      <x:c r="K10" t="str">
        <x:v>6-inch USB-A to USB-C data cable. Assumes USB-A host port.</x:v>
      </x:c>
      <x:c r="L10" t="str">
        <x:v>https://www.digikey.com/en/products/detail/adafruit-industries-llc/4472/11587359</x:v>
      </x:c>
      <x:c r="M10" t="str">
        <x:v>https://cdn-shop.adafruit.com/product-files/4472/4472_PCM-0207_TYPE_C_M-USB2.0_A_M__.pdf</x:v>
      </x:c>
    </x:row>
    <x:row r="11">
      <x:c r="A11" t="n">
        <x:v>5</x:v>
      </x:c>
      <x:c r="B11" t="str">
        <x:v>CME</x:v>
      </x:c>
      <x:c r="C11" t="str">
        <x:v>TRS-25 / 25TRS25</x:v>
      </x:c>
      <x:c r="D11" t="str">
        <x:v>2.5 mm TRS M/M, 10 cm; two-pack</x:v>
      </x:c>
      <x:c r="E11"/>
      <x:c r="F11" t="n">
        <x:v>1</x:v>
      </x:c>
      <x:c r="G11"/>
      <x:c r="H11"/>
      <x:c r="I11" s="13"/>
      <x:c r="J11"/>
      <x:c r="K11" t="str">
        <x:v>Amazon ASIN B08ZKWZV32. Quantity 1 = one pack of two cables. Price, stock and delivery not verified.</x:v>
      </x:c>
      <x:c r="L11" t="str">
        <x:v>https://www.amazon.com/dp/B08ZKWZV32</x:v>
      </x:c>
      <x:c r="M11" t="str">
        <x:v>https://www.cme-pro.com/product/widi-accessory-25trs25-cable/</x:v>
      </x:c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>
      <x:c r="A14" t="str">
        <x:v>Ordering notes</x:v>
      </x:c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>
      <x:c r="A15" t="str">
        <x:v>DigiKey stock and USD price tiers checked 2026-10-21. Shipping, tax and tariffs are not included.</x:v>
      </x:c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>
      <x:c r="A16" t="str">
        <x:v>Prices are from ProductDetails standard tiers. The separate productpricing API returned HTTP 404.</x:v>
      </x:c>
      <x:c r="B16"/>
      <x:c r="C16"/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Quoted unit prices are static at the listed tier; recheck prices after scaling order quantities.</x:v>
      </x:c>
      <x:c r="B17"/>
      <x:c r="C17"/>
      <x:c r="D17"/>
      <x:c r="E17"/>
      <x:c r="F17"/>
      <x:c r="G17"/>
      <x:c r="H17"/>
      <x:c r="I17"/>
      <x:c r="J17"/>
      <x:c r="K17"/>
      <x:c r="L17"/>
      <x:c r="M17"/>
    </x:row>
    <x:row r="18">
      <x:c r="A18" t="str">
        <x:v>MAIN includes 39 fitted purchasing lines (95 parts): 38 DigiKey lines and one LCSC NanoSD line.</x:v>
      </x:c>
      <x:c r="B18"/>
      <x:c r="C18"/>
      <x:c r="D18"/>
      <x:c r="E18"/>
      <x:c r="F18"/>
      <x:c r="G18"/>
      <x:c r="H18"/>
      <x:c r="I18"/>
      <x:c r="J18"/>
      <x:c r="K18"/>
      <x:c r="L18"/>
      <x:c r="M18"/>
    </x:row>
    <x:row r="19">
      <x:c r="A19" t="str">
        <x:v>Seven DNP references: C9, C10, R29, R44, R49, R50 and U3. ORDER QTY is zero.</x:v>
      </x:c>
      <x:c r="B19"/>
      <x:c r="C19"/>
      <x:c r="D19"/>
      <x:c r="E19"/>
      <x:c r="F19"/>
      <x:c r="G19"/>
      <x:c r="H19"/>
      <x:c r="I19"/>
      <x:c r="J19"/>
      <x:c r="K19"/>
      <x:c r="L19"/>
      <x:c r="M19"/>
    </x:row>
    <x:row r="20">
      <x:c r="A20" t="str">
        <x:v>BT1 uses your existing battery and soldered leads. J2 and U2 are bare PCB contacts; no connector purchase.</x:v>
      </x:c>
      <x:c r="B20"/>
      <x:c r="C20"/>
      <x:c r="D20"/>
      <x:c r="E20"/>
      <x:c r="F20"/>
      <x:c r="G20"/>
      <x:c r="H20"/>
      <x:c r="I20"/>
      <x:c r="J20"/>
      <x:c r="K20"/>
      <x:c r="L20"/>
      <x:c r="M20"/>
    </x:row>
    <x:row r="21">
      <x:c r="A21" t="str">
        <x:v>Five capacitor lines: X7R, 25 V minimum (100 nF: 50 V). 470 nF and 1 uF: +/-5%; other values: +/-10%.</x:v>
      </x:c>
      <x:c r="B21"/>
      <x:c r="C21"/>
      <x:c r="D21"/>
      <x:c r="E21"/>
      <x:c r="F21"/>
      <x:c r="G21"/>
      <x:c r="H21"/>
      <x:c r="I21"/>
      <x:c r="J21"/>
      <x:c r="K21"/>
      <x:c r="L21"/>
      <x:c r="M21"/>
    </x:row>
    <x:row r="22">
      <x:c r="A22" t="str">
        <x:v>Ten resistor lines: 1% for all nonzero values. R31 is 0.3 W; other nonzero resistors are 0.1 W.</x:v>
      </x:c>
      <x:c r="B22"/>
      <x:c r="C22"/>
      <x:c r="D22"/>
      <x:c r="E22"/>
      <x:c r="F22"/>
      <x:c r="G22"/>
      <x:c r="H22"/>
      <x:c r="I22"/>
      <x:c r="J22"/>
      <x:c r="K22"/>
      <x:c r="L22"/>
      <x:c r="M22"/>
    </x:row>
    <x:row r="23">
      <x:c r="A23" t="str">
        <x:v>R45/R46 are zero-ohm jumpers. Keep R49/R50 unpopulated unless reconfiguring tip/ring connections.</x:v>
      </x:c>
      <x:c r="B23"/>
      <x:c r="C23"/>
      <x:c r="D23"/>
      <x:c r="E23"/>
      <x:c r="F23"/>
      <x:c r="G23"/>
      <x:c r="H23"/>
      <x:c r="I23"/>
      <x:c r="J23"/>
      <x:c r="K23"/>
      <x:c r="L23"/>
      <x:c r="M23"/>
    </x:row>
    <x:row r="24">
      <x:c r="A24" t="str">
        <x:v>LCSC NanoSD price and live stock are not verified in this workbook. Recheck C2836409 before ordering.</x:v>
      </x:c>
      <x:c r="B24"/>
      <x:c r="C24"/>
      <x:c r="D24"/>
      <x:c r="E24"/>
      <x:c r="F24"/>
      <x:c r="G24"/>
      <x:c r="H24"/>
      <x:c r="I24"/>
      <x:c r="J24"/>
      <x:c r="K24"/>
      <x:c r="L24"/>
      <x:c r="M24"/>
    </x:row>
    <x:row r="25">
      <x:c r="A25" t="str">
        <x:v>Other items to check: PCB stencil, SMA measurement cable/adapter, M2 screws/standoffs and battery strain relief.</x:v>
      </x:c>
      <x:c r="B25"/>
      <x:c r="C25"/>
      <x:c r="D25"/>
      <x:c r="E25"/>
      <x:c r="F25"/>
      <x:c r="G25"/>
      <x:c r="H25"/>
      <x:c r="I25"/>
      <x:c r="J25"/>
      <x:c r="K25"/>
      <x:c r="L25"/>
      <x:c r="M25"/>
    </x:row>
    <x:row r="26">
      <x:c r="A26" t="str">
        <x:v>Also check existing supplies of flux, solder wick, cleaner, stencil applicator and a thermocouple.</x:v>
      </x:c>
      <x:c r="B26"/>
      <x:c r="C26"/>
      <x:c r="D26"/>
      <x:c r="E26"/>
      <x:c r="F26"/>
      <x:c r="G26"/>
      <x:c r="H26"/>
      <x:c r="I26"/>
      <x:c r="J26"/>
      <x:c r="K26"/>
      <x:c r="L26"/>
      <x:c r="M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</x:row>
    <x:row r="28">
      <x:c r="B28"/>
      <x:c r="C28"/>
      <x:c r="D28"/>
      <x:c r="E28"/>
      <x:c r="G28"/>
    </x:row>
    <x:row r="29">
      <x:c r="B29"/>
      <x:c r="C29"/>
      <x:c r="D29"/>
      <x:c r="E29"/>
      <x:c r="G29"/>
    </x:row>
    <x:row r="30">
      <x:c r="B30"/>
      <x:c r="C30"/>
      <x:c r="D30"/>
      <x:c r="E30"/>
      <x:c r="G30"/>
    </x:row>
    <x:row r="31">
      <x:c r="B31"/>
      <x:c r="C31"/>
      <x:c r="D31"/>
      <x:c r="E31"/>
      <x:c r="G31"/>
    </x:row>
    <x:row r="32">
      <x:c r="B32"/>
      <x:c r="C32"/>
      <x:c r="D32"/>
      <x:c r="E32"/>
      <x:c r="G32"/>
    </x:row>
    <x:row r="33">
      <x:c r="B33"/>
      <x:c r="C33"/>
      <x:c r="D33"/>
      <x:c r="E33"/>
      <x:c r="G33"/>
    </x:row>
    <x:row r="34">
      <x:c r="B34"/>
      <x:c r="C34"/>
      <x:c r="D34"/>
      <x:c r="E34"/>
      <x:c r="G34"/>
    </x:row>
    <x:row r="35">
      <x:c r="B35"/>
      <x:c r="C35"/>
      <x:c r="D35"/>
      <x:c r="E35"/>
      <x:c r="G35"/>
    </x:row>
    <x:row r="36">
      <x:c r="B36"/>
      <x:c r="C36"/>
      <x:c r="D36"/>
      <x:c r="E36"/>
      <x:c r="G36"/>
    </x:row>
    <x:row r="37">
      <x:c r="B37"/>
      <x:c r="C37"/>
      <x:c r="D37"/>
      <x:c r="E37"/>
      <x:c r="G37"/>
    </x:row>
    <x:row r="38">
      <x:c r="B38"/>
      <x:c r="C38"/>
      <x:c r="D38"/>
      <x:c r="E38"/>
      <x:c r="G38"/>
    </x:row>
    <x:row r="39">
      <x:c r="B39"/>
      <x:c r="C39"/>
      <x:c r="D39"/>
      <x:c r="E39"/>
      <x:c r="G39"/>
    </x:row>
    <x:row r="40">
      <x:c r="B40"/>
      <x:c r="C40"/>
      <x:c r="D40"/>
      <x:c r="E40"/>
      <x:c r="G40"/>
    </x:row>
    <x:row r="41">
      <x:c r="B41"/>
      <x:c r="C41"/>
      <x:c r="D41"/>
      <x:c r="E41"/>
      <x:c r="F41"/>
      <x:c r="G41"/>
    </x:row>
    <x:row r="42">
      <x:c r="B42"/>
      <x:c r="C42"/>
      <x:c r="D42"/>
      <x:c r="E42"/>
      <x:c r="G42"/>
    </x:row>
    <x:row r="43">
      <x:c r="B43"/>
      <x:c r="C43"/>
      <x:c r="D43"/>
      <x:c r="E43"/>
      <x:c r="F43"/>
      <x:c r="G43"/>
    </x:row>
    <x:row r="44">
      <x:c r="B44"/>
      <x:c r="C44"/>
      <x:c r="D44"/>
      <x:c r="E44"/>
      <x:c r="G44"/>
    </x:row>
  </x:sheetData>
  <x:pageMargins left="0.7" right="0.7" top="0.75" bottom="0.75" header="0.3" footer="0.3"/>
</x:worksheet>
</file>